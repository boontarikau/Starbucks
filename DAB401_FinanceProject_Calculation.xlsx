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0e38be3e858f9f3/Data Analytic/data analytics for business/term4/DAB 401 Financial/project/Starbuck/"/>
    </mc:Choice>
  </mc:AlternateContent>
  <xr:revisionPtr revIDLastSave="63" documentId="8_{A8478B8C-9524-4B61-9AB0-88D4FCC0DE8D}" xr6:coauthVersionLast="47" xr6:coauthVersionMax="47" xr10:uidLastSave="{B00A47DD-6F8B-43E9-9C6B-D6DC66BD1312}"/>
  <bookViews>
    <workbookView xWindow="-108" yWindow="-108" windowWidth="23256" windowHeight="12456" activeTab="1" xr2:uid="{00000000-000D-0000-FFFF-FFFF00000000}"/>
  </bookViews>
  <sheets>
    <sheet name="Ratio Analysis" sheetId="1" r:id="rId1"/>
    <sheet name="CAPM" sheetId="6" r:id="rId2"/>
    <sheet name="regression" sheetId="11" r:id="rId3"/>
    <sheet name="WACC" sheetId="2" r:id="rId4"/>
    <sheet name="SBUX" sheetId="7" r:id="rId5"/>
    <sheet name="S&amp;P500" sheetId="8" r:id="rId6"/>
    <sheet name="Resources" sheetId="3" r:id="rId7"/>
  </sheets>
  <externalReferences>
    <externalReference r:id="rId8"/>
  </externalReferences>
  <definedNames>
    <definedName name="_xlnm._FilterDatabase" localSheetId="1" hidden="1">CAPM!$A$1:$E$121</definedName>
    <definedName name="table">'[1]S&amp;P500'!$A$2:$F$2517</definedName>
    <definedName name="table_SP500">'S&amp;P500'!$A$2:$F$121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lM4pSUCyOWxJi/5nr/+dBh2zpG9XaDiRu3ULjDRt2s="/>
    </ext>
  </extLst>
</workbook>
</file>

<file path=xl/calcChain.xml><?xml version="1.0" encoding="utf-8"?>
<calcChain xmlns="http://schemas.openxmlformats.org/spreadsheetml/2006/main">
  <c r="C15" i="2" l="1"/>
  <c r="C23" i="2"/>
  <c r="C19" i="2"/>
  <c r="E20" i="6" l="1"/>
  <c r="E22" i="6"/>
  <c r="E23" i="6"/>
  <c r="E34" i="6"/>
  <c r="E82" i="6"/>
  <c r="E84" i="6"/>
  <c r="E86" i="6"/>
  <c r="E87" i="6"/>
  <c r="E98" i="6"/>
  <c r="D3" i="6"/>
  <c r="D4" i="6"/>
  <c r="E4" i="6" s="1"/>
  <c r="D5" i="6"/>
  <c r="D6" i="6"/>
  <c r="E6" i="6" s="1"/>
  <c r="D7" i="6"/>
  <c r="E7" i="6" s="1"/>
  <c r="D8" i="6"/>
  <c r="E8" i="6" s="1"/>
  <c r="D9" i="6"/>
  <c r="D10" i="6"/>
  <c r="E10" i="6" s="1"/>
  <c r="D11" i="6"/>
  <c r="E11" i="6" s="1"/>
  <c r="D12" i="6"/>
  <c r="D13" i="6"/>
  <c r="D14" i="6"/>
  <c r="E14" i="6" s="1"/>
  <c r="D15" i="6"/>
  <c r="E16" i="6" s="1"/>
  <c r="D16" i="6"/>
  <c r="D17" i="6"/>
  <c r="E17" i="6" s="1"/>
  <c r="D18" i="6"/>
  <c r="E18" i="6" s="1"/>
  <c r="D19" i="6"/>
  <c r="E19" i="6" s="1"/>
  <c r="D20" i="6"/>
  <c r="D21" i="6"/>
  <c r="D22" i="6"/>
  <c r="D23" i="6"/>
  <c r="D24" i="6"/>
  <c r="E24" i="6" s="1"/>
  <c r="D25" i="6"/>
  <c r="E25" i="6" s="1"/>
  <c r="D26" i="6"/>
  <c r="E26" i="6" s="1"/>
  <c r="D27" i="6"/>
  <c r="E27" i="6" s="1"/>
  <c r="D28" i="6"/>
  <c r="D29" i="6"/>
  <c r="D30" i="6"/>
  <c r="E30" i="6" s="1"/>
  <c r="D31" i="6"/>
  <c r="E31" i="6" s="1"/>
  <c r="D32" i="6"/>
  <c r="D33" i="6"/>
  <c r="E33" i="6" s="1"/>
  <c r="D34" i="6"/>
  <c r="D35" i="6"/>
  <c r="E35" i="6" s="1"/>
  <c r="D36" i="6"/>
  <c r="E36" i="6" s="1"/>
  <c r="D37" i="6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D45" i="6"/>
  <c r="D46" i="6"/>
  <c r="E46" i="6" s="1"/>
  <c r="D47" i="6"/>
  <c r="E47" i="6" s="1"/>
  <c r="D48" i="6"/>
  <c r="D49" i="6"/>
  <c r="E49" i="6" s="1"/>
  <c r="D50" i="6"/>
  <c r="E50" i="6" s="1"/>
  <c r="D51" i="6"/>
  <c r="E51" i="6" s="1"/>
  <c r="D52" i="6"/>
  <c r="E52" i="6" s="1"/>
  <c r="D53" i="6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D61" i="6"/>
  <c r="D62" i="6"/>
  <c r="E62" i="6" s="1"/>
  <c r="D63" i="6"/>
  <c r="E64" i="6" s="1"/>
  <c r="D64" i="6"/>
  <c r="D65" i="6"/>
  <c r="E65" i="6" s="1"/>
  <c r="D66" i="6"/>
  <c r="E66" i="6" s="1"/>
  <c r="D67" i="6"/>
  <c r="D68" i="6"/>
  <c r="E68" i="6" s="1"/>
  <c r="D69" i="6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D77" i="6"/>
  <c r="D78" i="6"/>
  <c r="E78" i="6" s="1"/>
  <c r="D79" i="6"/>
  <c r="E79" i="6" s="1"/>
  <c r="D80" i="6"/>
  <c r="D81" i="6"/>
  <c r="E81" i="6" s="1"/>
  <c r="D82" i="6"/>
  <c r="D83" i="6"/>
  <c r="E83" i="6" s="1"/>
  <c r="D84" i="6"/>
  <c r="D85" i="6"/>
  <c r="D86" i="6"/>
  <c r="D87" i="6"/>
  <c r="D88" i="6"/>
  <c r="E88" i="6" s="1"/>
  <c r="D89" i="6"/>
  <c r="E89" i="6" s="1"/>
  <c r="D90" i="6"/>
  <c r="E90" i="6" s="1"/>
  <c r="D91" i="6"/>
  <c r="E91" i="6" s="1"/>
  <c r="D92" i="6"/>
  <c r="D93" i="6"/>
  <c r="D94" i="6"/>
  <c r="E94" i="6" s="1"/>
  <c r="D95" i="6"/>
  <c r="E95" i="6" s="1"/>
  <c r="D96" i="6"/>
  <c r="D97" i="6"/>
  <c r="E97" i="6" s="1"/>
  <c r="D98" i="6"/>
  <c r="D99" i="6"/>
  <c r="E99" i="6" s="1"/>
  <c r="D100" i="6"/>
  <c r="E100" i="6" s="1"/>
  <c r="D101" i="6"/>
  <c r="D102" i="6"/>
  <c r="E102" i="6" s="1"/>
  <c r="D103" i="6"/>
  <c r="E103" i="6" s="1"/>
  <c r="D104" i="6"/>
  <c r="E104" i="6" s="1"/>
  <c r="D105" i="6"/>
  <c r="D106" i="6"/>
  <c r="E106" i="6" s="1"/>
  <c r="D107" i="6"/>
  <c r="E107" i="6" s="1"/>
  <c r="D108" i="6"/>
  <c r="D109" i="6"/>
  <c r="D110" i="6"/>
  <c r="E110" i="6" s="1"/>
  <c r="D111" i="6"/>
  <c r="E111" i="6" s="1"/>
  <c r="D112" i="6"/>
  <c r="D113" i="6"/>
  <c r="E113" i="6" s="1"/>
  <c r="D114" i="6"/>
  <c r="E114" i="6" s="1"/>
  <c r="D115" i="6"/>
  <c r="E115" i="6" s="1"/>
  <c r="D116" i="6"/>
  <c r="E116" i="6" s="1"/>
  <c r="D117" i="6"/>
  <c r="D118" i="6"/>
  <c r="E118" i="6" s="1"/>
  <c r="D119" i="6"/>
  <c r="E119" i="6" s="1"/>
  <c r="D120" i="6"/>
  <c r="E120" i="6" s="1"/>
  <c r="D121" i="6"/>
  <c r="E121" i="6" s="1"/>
  <c r="D2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3" i="6"/>
  <c r="H9" i="1"/>
  <c r="E105" i="6" l="1"/>
  <c r="E9" i="6"/>
  <c r="E67" i="6"/>
  <c r="E109" i="6"/>
  <c r="E93" i="6"/>
  <c r="E77" i="6"/>
  <c r="E61" i="6"/>
  <c r="E45" i="6"/>
  <c r="E29" i="6"/>
  <c r="E13" i="6"/>
  <c r="E3" i="6"/>
  <c r="E108" i="6"/>
  <c r="E92" i="6"/>
  <c r="E76" i="6"/>
  <c r="E60" i="6"/>
  <c r="E44" i="6"/>
  <c r="E28" i="6"/>
  <c r="E12" i="6"/>
  <c r="E117" i="6"/>
  <c r="E101" i="6"/>
  <c r="E85" i="6"/>
  <c r="E69" i="6"/>
  <c r="E53" i="6"/>
  <c r="E37" i="6"/>
  <c r="E21" i="6"/>
  <c r="E5" i="6"/>
  <c r="E80" i="6"/>
  <c r="E32" i="6"/>
  <c r="E63" i="6"/>
  <c r="E112" i="6"/>
  <c r="E15" i="6"/>
  <c r="H1" i="6" s="1"/>
  <c r="E48" i="6"/>
  <c r="E96" i="6"/>
  <c r="H3" i="6" l="1"/>
  <c r="H5" i="6" s="1"/>
  <c r="H9" i="6" s="1"/>
  <c r="H16" i="1"/>
  <c r="H17" i="1" s="1"/>
  <c r="H15" i="1"/>
  <c r="H12" i="1" l="1"/>
  <c r="H14" i="1"/>
  <c r="C10" i="2" l="1"/>
  <c r="C9" i="2"/>
  <c r="C7" i="2"/>
  <c r="C5" i="2" s="1"/>
  <c r="C21" i="2" s="1"/>
  <c r="C6" i="2"/>
  <c r="B33" i="1"/>
  <c r="H13" i="1"/>
  <c r="H11" i="1"/>
  <c r="H10" i="1"/>
  <c r="H8" i="1"/>
  <c r="H7" i="1"/>
  <c r="H6" i="1"/>
  <c r="H5" i="1"/>
  <c r="H4" i="1"/>
  <c r="H3" i="1"/>
  <c r="C11" i="2" l="1"/>
  <c r="C16" i="2" l="1"/>
  <c r="C17" i="2" l="1"/>
</calcChain>
</file>

<file path=xl/sharedStrings.xml><?xml version="1.0" encoding="utf-8"?>
<sst xmlns="http://schemas.openxmlformats.org/spreadsheetml/2006/main" count="210" uniqueCount="193">
  <si>
    <t xml:space="preserve">
CONSOLIDATED STATEMENTS OF EARNINGS
(unaudited, in millions, except per share data) Full Fiscal Year 2024 Results (Sep29, 2024)</t>
  </si>
  <si>
    <t>Ratio Analysis (Industrial Vs SBUX)</t>
  </si>
  <si>
    <t xml:space="preserve">
Revenue</t>
  </si>
  <si>
    <t>Financial Ratio</t>
  </si>
  <si>
    <t xml:space="preserve">Industrial </t>
  </si>
  <si>
    <t>SBUX</t>
  </si>
  <si>
    <t>Formular</t>
  </si>
  <si>
    <t>Cost of Sales</t>
  </si>
  <si>
    <t>Product and distribution costs</t>
  </si>
  <si>
    <t>Current Ratio</t>
  </si>
  <si>
    <t>Current Assets / Current Liabilities</t>
  </si>
  <si>
    <t>Gross Profit</t>
  </si>
  <si>
    <t>Gross Profit=Revenue−Cost of Sales</t>
  </si>
  <si>
    <t>Quick Ratio</t>
  </si>
  <si>
    <t>(Current Assets - Inventories) / Current Liabilities</t>
  </si>
  <si>
    <t>Cash Ratio</t>
  </si>
  <si>
    <t>Cash and Cash Equivalents/Total Current Liabilities</t>
  </si>
  <si>
    <t>Store operating expenses</t>
  </si>
  <si>
    <t>Debt-to-Equity Ratio</t>
  </si>
  <si>
    <t>Total Liabilities / Total Equity</t>
  </si>
  <si>
    <t>Other operating expenses</t>
  </si>
  <si>
    <t>Inventory Turnover Ratio</t>
  </si>
  <si>
    <t>Cost of Sales / Average Inventory</t>
  </si>
  <si>
    <t>Depreciation and amortization expenses</t>
  </si>
  <si>
    <t>Gross Profit Margin</t>
  </si>
  <si>
    <t>(Gross Profit/Net Sales) *100</t>
  </si>
  <si>
    <t>General and administrative expenses</t>
  </si>
  <si>
    <t xml:space="preserve">Operating Profit Margin </t>
  </si>
  <si>
    <t>(Operating Earnings / Total Revenue )*100</t>
  </si>
  <si>
    <t>Restructuring and impairments</t>
  </si>
  <si>
    <t>Return on Sales Ratio</t>
  </si>
  <si>
    <t xml:space="preserve"> (Operating Profit/Net Sales) *100 </t>
  </si>
  <si>
    <t>Total Operating Expenses</t>
  </si>
  <si>
    <t>Return on Total Assets</t>
  </si>
  <si>
    <t xml:space="preserve"> Net Income / Assets * 100</t>
  </si>
  <si>
    <t>Operating Income</t>
  </si>
  <si>
    <t>Return on Equity Ratio</t>
  </si>
  <si>
    <t>(Net Income after dividend /Shareholder’s Equity)*100</t>
  </si>
  <si>
    <t>Total Other Income/Expenses Net</t>
  </si>
  <si>
    <t>Return on Investment Ratio</t>
  </si>
  <si>
    <t xml:space="preserve"> (Net Profit/total invesment)*100</t>
  </si>
  <si>
    <t>Interest Expense</t>
  </si>
  <si>
    <t>Earnings per share</t>
  </si>
  <si>
    <t>Income Before Tax</t>
  </si>
  <si>
    <t xml:space="preserve">Earnings before income taxes
 </t>
  </si>
  <si>
    <t>Price/Earnings Ratio</t>
  </si>
  <si>
    <t>Income Tax Expense</t>
  </si>
  <si>
    <t>Net Income</t>
  </si>
  <si>
    <t>Net earnings attributable to Starbucks</t>
  </si>
  <si>
    <t>Earnings per Share (EPS)</t>
  </si>
  <si>
    <t>Net earnings per common share - diluted</t>
  </si>
  <si>
    <t>Price per share (Sep29, 2024)</t>
  </si>
  <si>
    <t>Effective Tax Rate</t>
  </si>
  <si>
    <t>Effective tax rate including noncontrolling interests</t>
  </si>
  <si>
    <t>CONSOLIDATED STATEMENTS OF EARNINGS
(unaudited, in millions, except per share data) Full Fiscal Year 2024 Results (Sep29, 2024)</t>
  </si>
  <si>
    <t>Non-current Assets</t>
  </si>
  <si>
    <t>Shareholders’ deficit :</t>
  </si>
  <si>
    <t xml:space="preserve">Long-term investments  </t>
  </si>
  <si>
    <t>Common stock ($0.001 par value)*</t>
  </si>
  <si>
    <t>Note:</t>
  </si>
  <si>
    <t xml:space="preserve">Equity investments  </t>
  </si>
  <si>
    <t>Additional paid-in capital</t>
  </si>
  <si>
    <t xml:space="preserve">*Common stock ($0.001 par value) </t>
  </si>
  <si>
    <t xml:space="preserve">Property, plant and equipment, net </t>
  </si>
  <si>
    <t>Retained deficit</t>
  </si>
  <si>
    <t>authorized</t>
  </si>
  <si>
    <t>shares</t>
  </si>
  <si>
    <t xml:space="preserve">Operating lease, right-of-use asset </t>
  </si>
  <si>
    <t>Accumulated other comprehensive income/(loss)</t>
  </si>
  <si>
    <t xml:space="preserve"> issued </t>
  </si>
  <si>
    <t xml:space="preserve">Deferred income taxes, net  </t>
  </si>
  <si>
    <t>Total shareholders’ deficit</t>
  </si>
  <si>
    <t>outstanding</t>
  </si>
  <si>
    <t xml:space="preserve">Other long-term assets </t>
  </si>
  <si>
    <t>Noncontrolling interests</t>
  </si>
  <si>
    <t xml:space="preserve">Other intangible assets  </t>
  </si>
  <si>
    <t>Total deficit</t>
  </si>
  <si>
    <t>On this case:</t>
  </si>
  <si>
    <t xml:space="preserve">Goodwill  </t>
  </si>
  <si>
    <t>Current Liabilities</t>
  </si>
  <si>
    <r>
      <rPr>
        <sz val="12"/>
        <color theme="1"/>
        <rFont val="Calibri"/>
        <family val="2"/>
      </rPr>
      <t>Operating Earnings =</t>
    </r>
    <r>
      <rPr>
        <b/>
        <sz val="12"/>
        <color theme="1"/>
        <rFont val="Calibri"/>
        <family val="2"/>
      </rPr>
      <t>Operating Income</t>
    </r>
  </si>
  <si>
    <t>Total non-current assets</t>
  </si>
  <si>
    <t>Accounts payable</t>
  </si>
  <si>
    <t>Current Assets</t>
  </si>
  <si>
    <t>Accrued liabilities</t>
  </si>
  <si>
    <t>Cash and cash equivalents</t>
  </si>
  <si>
    <t>Accrued payroll and benefits</t>
  </si>
  <si>
    <t>Short-term investments</t>
  </si>
  <si>
    <t>Current portion of operating lease liability</t>
  </si>
  <si>
    <t>Accounts receivable, net</t>
  </si>
  <si>
    <t>Stored value card liability and current portion of deferred revenue</t>
  </si>
  <si>
    <t>Inventories</t>
  </si>
  <si>
    <t>Short-term debt</t>
  </si>
  <si>
    <t>Prepaid expenses and other current assets</t>
  </si>
  <si>
    <t>Current portion of long-term debt</t>
  </si>
  <si>
    <t>Total current assets</t>
  </si>
  <si>
    <t>Total current liabilities</t>
  </si>
  <si>
    <t>Total assets</t>
  </si>
  <si>
    <t>Long-term debt</t>
  </si>
  <si>
    <t>Operating lease liability</t>
  </si>
  <si>
    <t>Deferred revenue</t>
  </si>
  <si>
    <t>Other long-term liabilities</t>
  </si>
  <si>
    <t>Total liabilities</t>
  </si>
  <si>
    <t>Total Liabilities and shareholder's equity/(deficit)</t>
  </si>
  <si>
    <t>Input Data</t>
  </si>
  <si>
    <t>Cost of Debt</t>
  </si>
  <si>
    <t>(Interest Expense/Total Debt)*100</t>
  </si>
  <si>
    <t>Tax Rate</t>
  </si>
  <si>
    <t>from Ratio analysis sheet</t>
  </si>
  <si>
    <t>Amount of Debt Outstanding *</t>
  </si>
  <si>
    <t>Short-term debt+Long-term debt+Current Portion of Long-Term Debt</t>
  </si>
  <si>
    <t>Cost of equity **</t>
  </si>
  <si>
    <t>from note</t>
  </si>
  <si>
    <t>Stock Price</t>
  </si>
  <si>
    <t xml:space="preserve">Shares Outstanding </t>
  </si>
  <si>
    <t>Total Equity</t>
  </si>
  <si>
    <t>Stock Price*Total Equity</t>
  </si>
  <si>
    <t>Output</t>
  </si>
  <si>
    <t>Weight of Debt</t>
  </si>
  <si>
    <t>Weight of Equity</t>
  </si>
  <si>
    <t>TOTAL</t>
  </si>
  <si>
    <t>Cost of Equity</t>
  </si>
  <si>
    <t>Cost of debt</t>
  </si>
  <si>
    <t>WACC</t>
  </si>
  <si>
    <t xml:space="preserve">annual report </t>
  </si>
  <si>
    <t>https://investor.starbucks.com/news/financial-releases/news-details/2024/Starbucks-Reports-Q4-and-Full-Fiscal-Year-2024-Results/default.aspx</t>
  </si>
  <si>
    <t>https://s203.q4cdn.com/326826266/files/doc_financials/2024/ar/Starbucks-Fiscal-2024-Annual-Report.pdf</t>
  </si>
  <si>
    <t>stock</t>
  </si>
  <si>
    <t>https://finance.yahoo.com/quote/SBUX/key-statistics/</t>
  </si>
  <si>
    <t>Risk-Free Rate (3.75 as of Sep27,2024)</t>
  </si>
  <si>
    <t>https://fred.stlouisfed.org/series/DGS10</t>
  </si>
  <si>
    <t>Beta  ( 0.75 as of 2024).</t>
  </si>
  <si>
    <t>Market Risk Premium (6%) -S&amp;P 500 historical returns (~10%) minus risk-free rate (~4%) ≈ 6%.</t>
  </si>
  <si>
    <t>https://www.kroll.com/en/insights/publications/cost-of-capital</t>
  </si>
  <si>
    <t>Liquidity</t>
  </si>
  <si>
    <t>Profitability</t>
  </si>
  <si>
    <t>Price Earning Ratio</t>
  </si>
  <si>
    <t>organization sustainable growth</t>
  </si>
  <si>
    <t>Dividend Payout Ratio</t>
  </si>
  <si>
    <t>ROE×(1-Dividend Payout Ratio)</t>
  </si>
  <si>
    <t>Cash dividends declared per share</t>
  </si>
  <si>
    <t>Debt to Equity</t>
  </si>
  <si>
    <t>Organization Sustainable Growth</t>
  </si>
  <si>
    <t>Weighted avg. shares outstanding - diluted</t>
  </si>
  <si>
    <r>
      <t xml:space="preserve">Net Sales = </t>
    </r>
    <r>
      <rPr>
        <b/>
        <sz val="12"/>
        <color theme="1"/>
        <rFont val="Calibri"/>
        <family val="2"/>
      </rPr>
      <t>Total Revenue</t>
    </r>
    <r>
      <rPr>
        <sz val="12"/>
        <color theme="1"/>
        <rFont val="Calibri"/>
        <family val="2"/>
      </rPr>
      <t xml:space="preserve"> </t>
    </r>
  </si>
  <si>
    <t>(Dividends Paid/Net Income)*100 ; Dividends Paid =Shares Outstanding × Dividends Per Share</t>
  </si>
  <si>
    <t>Earnings per Share (EPS)/Price</t>
  </si>
  <si>
    <t>Date</t>
  </si>
  <si>
    <t>Open</t>
  </si>
  <si>
    <t>High</t>
  </si>
  <si>
    <t>Low</t>
  </si>
  <si>
    <t>Close</t>
  </si>
  <si>
    <t>Adj Close</t>
  </si>
  <si>
    <t>Volume</t>
  </si>
  <si>
    <t>Date (SBUX)</t>
  </si>
  <si>
    <t>Beta</t>
  </si>
  <si>
    <t>Adj Close SBUX</t>
  </si>
  <si>
    <t>%monthly return in calculate as Geo mean-1</t>
  </si>
  <si>
    <t>Ra = RF+βa(Rm-Rf)</t>
  </si>
  <si>
    <t>&lt;1</t>
  </si>
  <si>
    <t>Adj Close(S&amp;P 500)</t>
  </si>
  <si>
    <t>RM(S&amp;P 500)</t>
  </si>
  <si>
    <t xml:space="preserve"> Ra(SBUX)</t>
  </si>
  <si>
    <t>Annual Compounded Return (Rm)</t>
  </si>
  <si>
    <t>Standard value of risk free rate (Rf)</t>
  </si>
  <si>
    <t>weighted average cost of capital (WACC)</t>
  </si>
  <si>
    <t>Weight of debt and equity</t>
  </si>
  <si>
    <r>
      <t>Net profit = Operating Profit=</t>
    </r>
    <r>
      <rPr>
        <b/>
        <sz val="12"/>
        <color theme="1"/>
        <rFont val="Calibri"/>
        <family val="2"/>
      </rPr>
      <t xml:space="preserve"> Net Income</t>
    </r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</si>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</sst>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$-1009]#,##0.00"/>
    <numFmt numFmtId="165" formatCode="_-&quot;$&quot;* #,##0.00_-;\-&quot;$&quot;* #,##0.00_-;_-&quot;$&quot;* &quot;-&quot;??_-;_-@"/>
    <numFmt numFmtId="166" formatCode="0.0%"/>
    <numFmt numFmtId="167" formatCode="&quot;$&quot;#,##0_);[Red]\(&quot;$&quot;#,##0\)"/>
    <numFmt numFmtId="168" formatCode="&quot;$&quot;#,##0.00_);[Red]\(&quot;$&quot;#,##0.00\)"/>
    <numFmt numFmtId="169" formatCode="_(* #,##0.00_);_(* \(#,##0.00\);_(* &quot;-&quot;??_);_(@_)"/>
    <numFmt numFmtId="170" formatCode="0.0000000000000000%"/>
    <numFmt numFmtId="171" formatCode="0.0000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name val="Aptos Narrow"/>
      <family val="2"/>
    </font>
    <font>
      <sz val="12"/>
      <color theme="1"/>
      <name val="Calibri"/>
      <family val="2"/>
    </font>
    <font>
      <b/>
      <sz val="12"/>
      <color theme="6"/>
      <name val="Calibri"/>
      <family val="2"/>
    </font>
    <font>
      <sz val="12"/>
      <color theme="6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2"/>
      <name val="Calibri"/>
      <family val="2"/>
    </font>
    <font>
      <sz val="12"/>
      <color theme="2"/>
      <name val="Calibri"/>
      <family val="2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rgb="FFD9F2D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388600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38">
    <xf numFmtId="0" fontId="0" fillId="0" borderId="0" xfId="0"/>
    <xf numFmtId="164" fontId="4" fillId="0" borderId="0" xfId="0" applyNumberFormat="1" applyFont="1"/>
    <xf numFmtId="0" fontId="6" fillId="0" borderId="0" xfId="0" applyFont="1"/>
    <xf numFmtId="0" fontId="6" fillId="0" borderId="6" xfId="0" applyFont="1" applyBorder="1" applyAlignment="1">
      <alignment wrapText="1"/>
    </xf>
    <xf numFmtId="165" fontId="6" fillId="0" borderId="6" xfId="0" applyNumberFormat="1" applyFont="1" applyBorder="1"/>
    <xf numFmtId="164" fontId="6" fillId="0" borderId="6" xfId="0" applyNumberFormat="1" applyFont="1" applyBorder="1"/>
    <xf numFmtId="164" fontId="6" fillId="0" borderId="0" xfId="0" applyNumberFormat="1" applyFont="1"/>
    <xf numFmtId="0" fontId="6" fillId="0" borderId="6" xfId="0" applyFont="1" applyBorder="1"/>
    <xf numFmtId="0" fontId="6" fillId="0" borderId="6" xfId="0" applyFont="1" applyBorder="1" applyAlignment="1">
      <alignment horizontal="right"/>
    </xf>
    <xf numFmtId="164" fontId="6" fillId="0" borderId="6" xfId="0" applyNumberFormat="1" applyFont="1" applyBorder="1" applyAlignment="1">
      <alignment wrapText="1"/>
    </xf>
    <xf numFmtId="0" fontId="4" fillId="0" borderId="6" xfId="0" applyFont="1" applyBorder="1"/>
    <xf numFmtId="165" fontId="6" fillId="0" borderId="6" xfId="0" applyNumberFormat="1" applyFont="1" applyBorder="1" applyAlignment="1">
      <alignment wrapText="1"/>
    </xf>
    <xf numFmtId="0" fontId="6" fillId="0" borderId="6" xfId="0" applyFont="1" applyBorder="1" applyAlignment="1">
      <alignment horizontal="left"/>
    </xf>
    <xf numFmtId="165" fontId="6" fillId="0" borderId="6" xfId="0" applyNumberFormat="1" applyFont="1" applyBorder="1" applyAlignment="1">
      <alignment horizontal="left" wrapText="1"/>
    </xf>
    <xf numFmtId="165" fontId="6" fillId="0" borderId="6" xfId="0" applyNumberFormat="1" applyFont="1" applyBorder="1" applyAlignment="1">
      <alignment horizontal="left"/>
    </xf>
    <xf numFmtId="0" fontId="4" fillId="0" borderId="0" xfId="0" applyFont="1"/>
    <xf numFmtId="0" fontId="4" fillId="0" borderId="6" xfId="0" applyFont="1" applyBorder="1" applyAlignment="1">
      <alignment horizontal="left"/>
    </xf>
    <xf numFmtId="0" fontId="4" fillId="4" borderId="8" xfId="0" applyFont="1" applyFill="1" applyBorder="1"/>
    <xf numFmtId="0" fontId="6" fillId="4" borderId="8" xfId="0" applyFont="1" applyFill="1" applyBorder="1"/>
    <xf numFmtId="0" fontId="10" fillId="4" borderId="8" xfId="0" applyFont="1" applyFill="1" applyBorder="1"/>
    <xf numFmtId="0" fontId="10" fillId="4" borderId="8" xfId="0" applyFont="1" applyFill="1" applyBorder="1" applyAlignment="1">
      <alignment horizontal="right" vertical="center" wrapText="1"/>
    </xf>
    <xf numFmtId="0" fontId="10" fillId="4" borderId="8" xfId="0" applyFont="1" applyFill="1" applyBorder="1" applyAlignment="1">
      <alignment horizontal="right" wrapText="1"/>
    </xf>
    <xf numFmtId="0" fontId="4" fillId="0" borderId="7" xfId="0" applyFont="1" applyBorder="1"/>
    <xf numFmtId="0" fontId="4" fillId="0" borderId="6" xfId="0" applyFont="1" applyBorder="1" applyAlignment="1">
      <alignment horizontal="right"/>
    </xf>
    <xf numFmtId="165" fontId="6" fillId="0" borderId="1" xfId="0" applyNumberFormat="1" applyFont="1" applyBorder="1"/>
    <xf numFmtId="165" fontId="6" fillId="0" borderId="0" xfId="0" applyNumberFormat="1" applyFont="1" applyAlignment="1">
      <alignment wrapText="1"/>
    </xf>
    <xf numFmtId="0" fontId="6" fillId="0" borderId="9" xfId="0" applyFont="1" applyBorder="1" applyAlignment="1">
      <alignment horizontal="left"/>
    </xf>
    <xf numFmtId="165" fontId="6" fillId="0" borderId="0" xfId="0" applyNumberFormat="1" applyFont="1"/>
    <xf numFmtId="164" fontId="6" fillId="0" borderId="0" xfId="0" applyNumberFormat="1" applyFont="1" applyAlignment="1">
      <alignment wrapText="1"/>
    </xf>
    <xf numFmtId="0" fontId="6" fillId="5" borderId="8" xfId="0" applyFont="1" applyFill="1" applyBorder="1"/>
    <xf numFmtId="10" fontId="6" fillId="5" borderId="8" xfId="0" applyNumberFormat="1" applyFont="1" applyFill="1" applyBorder="1"/>
    <xf numFmtId="2" fontId="6" fillId="5" borderId="8" xfId="0" applyNumberFormat="1" applyFont="1" applyFill="1" applyBorder="1"/>
    <xf numFmtId="0" fontId="6" fillId="5" borderId="8" xfId="0" applyFont="1" applyFill="1" applyBorder="1" applyAlignment="1">
      <alignment horizontal="left"/>
    </xf>
    <xf numFmtId="167" fontId="6" fillId="5" borderId="8" xfId="0" applyNumberFormat="1" applyFont="1" applyFill="1" applyBorder="1"/>
    <xf numFmtId="0" fontId="6" fillId="0" borderId="0" xfId="0" applyFont="1" applyAlignment="1">
      <alignment horizontal="left"/>
    </xf>
    <xf numFmtId="4" fontId="6" fillId="5" borderId="8" xfId="0" applyNumberFormat="1" applyFont="1" applyFill="1" applyBorder="1" applyAlignment="1">
      <alignment wrapText="1"/>
    </xf>
    <xf numFmtId="168" fontId="6" fillId="5" borderId="8" xfId="0" applyNumberFormat="1" applyFont="1" applyFill="1" applyBorder="1"/>
    <xf numFmtId="4" fontId="6" fillId="5" borderId="8" xfId="0" applyNumberFormat="1" applyFont="1" applyFill="1" applyBorder="1"/>
    <xf numFmtId="4" fontId="6" fillId="0" borderId="0" xfId="0" applyNumberFormat="1" applyFont="1" applyAlignment="1">
      <alignment wrapText="1"/>
    </xf>
    <xf numFmtId="9" fontId="6" fillId="5" borderId="8" xfId="0" applyNumberFormat="1" applyFont="1" applyFill="1" applyBorder="1"/>
    <xf numFmtId="169" fontId="6" fillId="5" borderId="8" xfId="0" applyNumberFormat="1" applyFont="1" applyFill="1" applyBorder="1"/>
    <xf numFmtId="9" fontId="4" fillId="5" borderId="8" xfId="0" applyNumberFormat="1" applyFont="1" applyFill="1" applyBorder="1"/>
    <xf numFmtId="10" fontId="6" fillId="6" borderId="8" xfId="0" applyNumberFormat="1" applyFont="1" applyFill="1" applyBorder="1"/>
    <xf numFmtId="10" fontId="6" fillId="0" borderId="0" xfId="0" applyNumberFormat="1" applyFont="1"/>
    <xf numFmtId="170" fontId="6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8" xfId="0" applyFont="1" applyBorder="1"/>
    <xf numFmtId="164" fontId="6" fillId="0" borderId="8" xfId="0" applyNumberFormat="1" applyFont="1" applyBorder="1"/>
    <xf numFmtId="164" fontId="6" fillId="0" borderId="8" xfId="0" applyNumberFormat="1" applyFont="1" applyBorder="1" applyAlignment="1">
      <alignment wrapText="1"/>
    </xf>
    <xf numFmtId="166" fontId="6" fillId="0" borderId="8" xfId="0" applyNumberFormat="1" applyFont="1" applyBorder="1"/>
    <xf numFmtId="0" fontId="3" fillId="0" borderId="0" xfId="0" applyFont="1"/>
    <xf numFmtId="0" fontId="6" fillId="0" borderId="12" xfId="0" applyFont="1" applyBorder="1"/>
    <xf numFmtId="165" fontId="6" fillId="0" borderId="12" xfId="0" applyNumberFormat="1" applyFont="1" applyBorder="1" applyAlignment="1">
      <alignment horizontal="left"/>
    </xf>
    <xf numFmtId="0" fontId="4" fillId="7" borderId="11" xfId="0" applyFont="1" applyFill="1" applyBorder="1"/>
    <xf numFmtId="0" fontId="6" fillId="7" borderId="11" xfId="0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0" fontId="6" fillId="7" borderId="11" xfId="0" applyFont="1" applyFill="1" applyBorder="1"/>
    <xf numFmtId="0" fontId="6" fillId="7" borderId="11" xfId="0" applyFont="1" applyFill="1" applyBorder="1" applyAlignment="1">
      <alignment wrapText="1"/>
    </xf>
    <xf numFmtId="1" fontId="6" fillId="7" borderId="11" xfId="0" applyNumberFormat="1" applyFont="1" applyFill="1" applyBorder="1" applyAlignment="1">
      <alignment horizontal="center" vertical="center"/>
    </xf>
    <xf numFmtId="10" fontId="6" fillId="7" borderId="11" xfId="0" applyNumberFormat="1" applyFont="1" applyFill="1" applyBorder="1" applyAlignment="1">
      <alignment horizontal="center" vertical="center"/>
    </xf>
    <xf numFmtId="10" fontId="8" fillId="7" borderId="11" xfId="0" applyNumberFormat="1" applyFont="1" applyFill="1" applyBorder="1" applyAlignment="1">
      <alignment horizontal="center" vertical="center"/>
    </xf>
    <xf numFmtId="9" fontId="6" fillId="7" borderId="11" xfId="0" applyNumberFormat="1" applyFont="1" applyFill="1" applyBorder="1" applyAlignment="1">
      <alignment horizontal="center" vertical="center"/>
    </xf>
    <xf numFmtId="10" fontId="8" fillId="7" borderId="11" xfId="0" applyNumberFormat="1" applyFont="1" applyFill="1" applyBorder="1" applyAlignment="1">
      <alignment horizontal="center" vertical="center" wrapText="1"/>
    </xf>
    <xf numFmtId="9" fontId="8" fillId="7" borderId="11" xfId="0" applyNumberFormat="1" applyFont="1" applyFill="1" applyBorder="1" applyAlignment="1">
      <alignment horizontal="center" vertical="center"/>
    </xf>
    <xf numFmtId="164" fontId="6" fillId="7" borderId="11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2" fontId="6" fillId="7" borderId="11" xfId="0" applyNumberFormat="1" applyFont="1" applyFill="1" applyBorder="1" applyAlignment="1">
      <alignment horizontal="center" vertical="center"/>
    </xf>
    <xf numFmtId="164" fontId="6" fillId="0" borderId="12" xfId="0" applyNumberFormat="1" applyFont="1" applyBorder="1"/>
    <xf numFmtId="0" fontId="6" fillId="0" borderId="11" xfId="0" applyFont="1" applyBorder="1"/>
    <xf numFmtId="165" fontId="6" fillId="0" borderId="11" xfId="0" applyNumberFormat="1" applyFont="1" applyBorder="1" applyAlignment="1">
      <alignment horizontal="left"/>
    </xf>
    <xf numFmtId="166" fontId="6" fillId="0" borderId="11" xfId="0" applyNumberFormat="1" applyFont="1" applyBorder="1"/>
    <xf numFmtId="2" fontId="6" fillId="0" borderId="11" xfId="0" applyNumberFormat="1" applyFont="1" applyBorder="1" applyAlignment="1">
      <alignment wrapText="1"/>
    </xf>
    <xf numFmtId="10" fontId="8" fillId="7" borderId="11" xfId="1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6" fillId="8" borderId="8" xfId="0" applyFont="1" applyFill="1" applyBorder="1"/>
    <xf numFmtId="164" fontId="4" fillId="9" borderId="0" xfId="0" applyNumberFormat="1" applyFont="1" applyFill="1"/>
    <xf numFmtId="0" fontId="7" fillId="0" borderId="8" xfId="0" applyFont="1" applyBorder="1" applyAlignment="1">
      <alignment horizontal="center" vertical="center"/>
    </xf>
    <xf numFmtId="0" fontId="6" fillId="0" borderId="14" xfId="0" applyFont="1" applyBorder="1"/>
    <xf numFmtId="0" fontId="0" fillId="0" borderId="14" xfId="0" applyBorder="1"/>
    <xf numFmtId="164" fontId="6" fillId="0" borderId="14" xfId="0" applyNumberFormat="1" applyFont="1" applyBorder="1"/>
    <xf numFmtId="164" fontId="6" fillId="0" borderId="7" xfId="0" applyNumberFormat="1" applyFont="1" applyBorder="1"/>
    <xf numFmtId="0" fontId="9" fillId="0" borderId="8" xfId="0" applyFont="1" applyBorder="1"/>
    <xf numFmtId="0" fontId="6" fillId="0" borderId="7" xfId="0" applyFont="1" applyBorder="1" applyAlignment="1">
      <alignment horizontal="right"/>
    </xf>
    <xf numFmtId="165" fontId="6" fillId="0" borderId="7" xfId="0" applyNumberFormat="1" applyFont="1" applyBorder="1" applyAlignment="1">
      <alignment wrapText="1"/>
    </xf>
    <xf numFmtId="0" fontId="6" fillId="0" borderId="7" xfId="0" applyFont="1" applyBorder="1"/>
    <xf numFmtId="0" fontId="4" fillId="0" borderId="11" xfId="0" applyFont="1" applyBorder="1" applyAlignment="1">
      <alignment horizontal="left"/>
    </xf>
    <xf numFmtId="165" fontId="6" fillId="0" borderId="11" xfId="0" applyNumberFormat="1" applyFont="1" applyBorder="1"/>
    <xf numFmtId="164" fontId="6" fillId="0" borderId="11" xfId="0" applyNumberFormat="1" applyFont="1" applyBorder="1"/>
    <xf numFmtId="0" fontId="6" fillId="13" borderId="8" xfId="0" applyFont="1" applyFill="1" applyBorder="1"/>
    <xf numFmtId="49" fontId="6" fillId="13" borderId="10" xfId="0" applyNumberFormat="1" applyFont="1" applyFill="1" applyBorder="1" applyAlignment="1">
      <alignment horizontal="center" wrapText="1"/>
    </xf>
    <xf numFmtId="0" fontId="6" fillId="13" borderId="10" xfId="0" applyFont="1" applyFill="1" applyBorder="1"/>
    <xf numFmtId="49" fontId="17" fillId="13" borderId="10" xfId="0" applyNumberFormat="1" applyFont="1" applyFill="1" applyBorder="1" applyAlignment="1">
      <alignment wrapText="1"/>
    </xf>
    <xf numFmtId="0" fontId="17" fillId="13" borderId="8" xfId="0" applyFont="1" applyFill="1" applyBorder="1" applyAlignment="1">
      <alignment horizontal="left" vertical="center"/>
    </xf>
    <xf numFmtId="0" fontId="18" fillId="13" borderId="8" xfId="0" applyFont="1" applyFill="1" applyBorder="1"/>
    <xf numFmtId="0" fontId="17" fillId="6" borderId="8" xfId="0" applyFont="1" applyFill="1" applyBorder="1"/>
    <xf numFmtId="0" fontId="16" fillId="12" borderId="11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0" fontId="2" fillId="10" borderId="11" xfId="0" applyFont="1" applyFill="1" applyBorder="1"/>
    <xf numFmtId="0" fontId="0" fillId="12" borderId="11" xfId="0" applyFill="1" applyBorder="1"/>
    <xf numFmtId="0" fontId="0" fillId="10" borderId="11" xfId="0" applyFill="1" applyBorder="1"/>
    <xf numFmtId="0" fontId="2" fillId="0" borderId="0" xfId="0" applyFont="1"/>
    <xf numFmtId="171" fontId="2" fillId="12" borderId="11" xfId="0" applyNumberFormat="1" applyFont="1" applyFill="1" applyBorder="1" applyAlignment="1">
      <alignment horizontal="center"/>
    </xf>
    <xf numFmtId="171" fontId="0" fillId="0" borderId="11" xfId="0" applyNumberFormat="1" applyBorder="1"/>
    <xf numFmtId="171" fontId="0" fillId="0" borderId="0" xfId="0" applyNumberFormat="1"/>
    <xf numFmtId="14" fontId="0" fillId="0" borderId="0" xfId="0" applyNumberFormat="1"/>
    <xf numFmtId="0" fontId="1" fillId="0" borderId="0" xfId="0" applyFont="1"/>
    <xf numFmtId="10" fontId="1" fillId="0" borderId="0" xfId="1" applyNumberFormat="1" applyFont="1"/>
    <xf numFmtId="0" fontId="1" fillId="9" borderId="0" xfId="0" applyFont="1" applyFill="1"/>
    <xf numFmtId="10" fontId="1" fillId="9" borderId="0" xfId="1" applyNumberFormat="1" applyFont="1" applyFill="1"/>
    <xf numFmtId="10" fontId="1" fillId="9" borderId="0" xfId="0" applyNumberFormat="1" applyFont="1" applyFill="1"/>
    <xf numFmtId="0" fontId="19" fillId="10" borderId="0" xfId="0" applyFont="1" applyFill="1" applyAlignment="1">
      <alignment horizontal="center"/>
    </xf>
    <xf numFmtId="0" fontId="19" fillId="0" borderId="0" xfId="0" applyFont="1"/>
    <xf numFmtId="0" fontId="19" fillId="10" borderId="0" xfId="0" applyFont="1" applyFill="1"/>
    <xf numFmtId="0" fontId="15" fillId="10" borderId="11" xfId="0" applyFont="1" applyFill="1" applyBorder="1" applyAlignment="1">
      <alignment horizontal="center"/>
    </xf>
    <xf numFmtId="10" fontId="1" fillId="14" borderId="0" xfId="0" applyNumberFormat="1" applyFont="1" applyFill="1"/>
    <xf numFmtId="0" fontId="4" fillId="5" borderId="8" xfId="0" applyFont="1" applyFill="1" applyBorder="1"/>
    <xf numFmtId="0" fontId="6" fillId="5" borderId="11" xfId="0" applyFont="1" applyFill="1" applyBorder="1"/>
    <xf numFmtId="10" fontId="6" fillId="5" borderId="11" xfId="0" applyNumberFormat="1" applyFont="1" applyFill="1" applyBorder="1"/>
    <xf numFmtId="10" fontId="6" fillId="5" borderId="3" xfId="0" applyNumberFormat="1" applyFont="1" applyFill="1" applyBorder="1"/>
    <xf numFmtId="9" fontId="6" fillId="5" borderId="11" xfId="0" applyNumberFormat="1" applyFont="1" applyFill="1" applyBorder="1"/>
    <xf numFmtId="0" fontId="4" fillId="11" borderId="1" xfId="0" applyFont="1" applyFill="1" applyBorder="1" applyAlignment="1">
      <alignment horizontal="center" wrapText="1"/>
    </xf>
    <xf numFmtId="0" fontId="5" fillId="10" borderId="2" xfId="0" applyFont="1" applyFill="1" applyBorder="1"/>
    <xf numFmtId="0" fontId="5" fillId="10" borderId="3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4" fillId="10" borderId="13" xfId="0" applyFont="1" applyFill="1" applyBorder="1" applyAlignment="1">
      <alignment horizontal="center" wrapText="1"/>
    </xf>
    <xf numFmtId="0" fontId="3" fillId="10" borderId="13" xfId="0" applyFont="1" applyFill="1" applyBorder="1" applyAlignment="1">
      <alignment horizontal="center" wrapText="1"/>
    </xf>
    <xf numFmtId="0" fontId="0" fillId="0" borderId="8" xfId="0" applyFill="1" applyBorder="1" applyAlignment="1"/>
    <xf numFmtId="0" fontId="0" fillId="0" borderId="15" xfId="0" applyFill="1" applyBorder="1" applyAlignment="1"/>
    <xf numFmtId="0" fontId="20" fillId="0" borderId="16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centerContinuous"/>
    </xf>
    <xf numFmtId="0" fontId="0" fillId="15" borderId="15" xfId="0" applyFill="1" applyBorder="1" applyAlignment="1"/>
  </cellXfs>
  <cellStyles count="2">
    <cellStyle name="Normal" xfId="0" builtinId="0"/>
    <cellStyle name="Percent" xfId="1" builtinId="5"/>
  </cellStyles>
  <dxfs count="10"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atio Analysis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creativecommons.org/licenses/by-nc/3.0/" TargetMode="External"/><Relationship Id="rId1" Type="http://schemas.openxmlformats.org/officeDocument/2006/relationships/hyperlink" Target="https://freepngimg.com/png/24116-starbucks-logo-transparent-image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381000</xdr:rowOff>
    </xdr:from>
    <xdr:ext cx="28289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36300" y="3637125"/>
          <a:ext cx="28194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u="sng">
              <a:solidFill>
                <a:schemeClr val="hlink"/>
              </a:solidFill>
              <a:latin typeface="Arial"/>
              <a:ea typeface="Arial"/>
              <a:cs typeface="Arial"/>
              <a:sym typeface="Arial"/>
              <a:hlinkClick xmlns:r="http://schemas.openxmlformats.org/officeDocument/2006/relationships" r:id="rId1"/>
            </a:rPr>
            <a:t>This Photo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by Unknown Author is licensed under </a:t>
          </a:r>
          <a:r>
            <a:rPr lang="en-US" sz="900" u="sng">
              <a:solidFill>
                <a:schemeClr val="hlink"/>
              </a:solidFill>
              <a:latin typeface="Arial"/>
              <a:ea typeface="Arial"/>
              <a:cs typeface="Arial"/>
              <a:sym typeface="Arial"/>
              <a:hlinkClick xmlns:r="http://schemas.openxmlformats.org/officeDocument/2006/relationships" r:id="rId2"/>
            </a:rPr>
            <a:t>CC BY-NC</a:t>
          </a:r>
          <a:endParaRPr sz="900"/>
        </a:p>
      </xdr:txBody>
    </xdr:sp>
    <xdr:clientData fLocksWithSheet="0"/>
  </xdr:oneCellAnchor>
  <xdr:oneCellAnchor>
    <xdr:from>
      <xdr:col>1</xdr:col>
      <xdr:colOff>126822</xdr:colOff>
      <xdr:row>0</xdr:row>
      <xdr:rowOff>0</xdr:rowOff>
    </xdr:from>
    <xdr:ext cx="2762250" cy="101885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17968" y="0"/>
          <a:ext cx="2762250" cy="1018854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1647076</xdr:colOff>
      <xdr:row>21</xdr:row>
      <xdr:rowOff>77056</xdr:rowOff>
    </xdr:from>
    <xdr:ext cx="2447925" cy="904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438222" y="5470989"/>
          <a:ext cx="24479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</xdr:row>
      <xdr:rowOff>9525</xdr:rowOff>
    </xdr:from>
    <xdr:ext cx="476250" cy="44767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1733122</xdr:colOff>
      <xdr:row>24</xdr:row>
      <xdr:rowOff>11557</xdr:rowOff>
    </xdr:from>
    <xdr:ext cx="476250" cy="44767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060380" y="6929490"/>
          <a:ext cx="476250" cy="4476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2</xdr:row>
      <xdr:rowOff>152400</xdr:rowOff>
    </xdr:from>
    <xdr:ext cx="7400925" cy="2343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646490" y="2610330"/>
          <a:ext cx="7399020" cy="233934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 Amount of Debt Outstanding = Short-Term Debt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+ 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longTerm Debt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</a:t>
          </a:r>
          <a:endParaRPr sz="1100" b="1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Short-Term Debt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for 2024 is 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$0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according to the table.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The 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$1,248.9 million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listed under "Current portion of long-term debt" is 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classified as short-term debt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but as part of long-term debt obligations.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** Cost of equity (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 =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​+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β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×(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rm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​−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</a:t>
          </a:r>
          <a:endParaRPr sz="1100" b="1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Risk-Free Rate (</a:t>
          </a:r>
          <a:r>
            <a:rPr lang="en-US" sz="1100" b="1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</a:t>
          </a:r>
          <a:r>
            <a:rPr lang="en-CA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3.02</a:t>
          </a:r>
          <a:r>
            <a:rPr lang="en-CA" sz="1100" b="0" i="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Beta (</a:t>
          </a:r>
          <a:r>
            <a:rPr lang="en-US" sz="1100" b="1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β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</a:t>
          </a:r>
          <a:r>
            <a:rPr lang="en-CA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0.84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effectLst/>
              <a:latin typeface="+mn-lt"/>
              <a:ea typeface="+mn-ea"/>
              <a:cs typeface="+mn-cs"/>
            </a:rPr>
            <a:t>Expected market return</a:t>
          </a:r>
          <a:r>
            <a:rPr lang="en-US" sz="1200" b="1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effectLst/>
              <a:latin typeface="+mn-lt"/>
              <a:ea typeface="+mn-ea"/>
              <a:cs typeface="+mn-cs"/>
            </a:rPr>
            <a:t>(</a:t>
          </a:r>
          <a:r>
            <a:rPr lang="en-US" sz="1200" b="1" i="1">
              <a:effectLst/>
              <a:latin typeface="+mn-lt"/>
              <a:ea typeface="+mn-ea"/>
              <a:cs typeface="+mn-cs"/>
            </a:rPr>
            <a:t>Rm</a:t>
          </a:r>
          <a:r>
            <a:rPr lang="en-US" sz="1200" b="1" i="0">
              <a:effectLst/>
              <a:latin typeface="+mn-lt"/>
              <a:ea typeface="+mn-ea"/>
              <a:cs typeface="+mn-cs"/>
            </a:rPr>
            <a:t>​): </a:t>
          </a:r>
          <a:r>
            <a:rPr lang="en-US" sz="1200" b="0" i="0">
              <a:effectLst/>
              <a:latin typeface="+mn-lt"/>
              <a:ea typeface="+mn-ea"/>
              <a:cs typeface="+mn-cs"/>
            </a:rPr>
            <a:t>11.25</a:t>
          </a:r>
          <a:endParaRPr lang="en-CA" sz="1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Market Risk Premium (</a:t>
          </a:r>
          <a:r>
            <a:rPr lang="en-US" sz="1100" b="1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rm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​−</a:t>
          </a:r>
          <a:r>
            <a:rPr lang="en-US" sz="1100" b="1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lang="en-US" sz="1100" b="1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11.25- 3.02 = 8.23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​= 3.02+(0.84×8.23)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=</a:t>
          </a:r>
          <a:r>
            <a:rPr lang="en-US" sz="1100" b="0" i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9.93%​</a:t>
          </a:r>
          <a:endParaRPr sz="1400"/>
        </a:p>
      </xdr:txBody>
    </xdr:sp>
    <xdr:clientData fLocksWithSheet="0"/>
  </xdr:oneCellAnchor>
  <xdr:oneCellAnchor>
    <xdr:from>
      <xdr:col>6</xdr:col>
      <xdr:colOff>552450</xdr:colOff>
      <xdr:row>1</xdr:row>
      <xdr:rowOff>47625</xdr:rowOff>
    </xdr:from>
    <xdr:ext cx="552450" cy="4476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1939290</xdr:colOff>
      <xdr:row>0</xdr:row>
      <xdr:rowOff>0</xdr:rowOff>
    </xdr:from>
    <xdr:ext cx="2447925" cy="8858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48890" y="0"/>
          <a:ext cx="2447925" cy="8858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tarbuck_10_updated%20(3).csv" TargetMode="External"/><Relationship Id="rId1" Type="http://schemas.openxmlformats.org/officeDocument/2006/relationships/externalLinkPath" Target="file:///C:\Users\DELL\Downloads\starbuck_10_updated%20(3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500"/>
      <sheetName val="SBUX"/>
      <sheetName val="CAPM"/>
    </sheetNames>
    <sheetDataSet>
      <sheetData sheetId="0">
        <row r="2">
          <cell r="A2">
            <v>42065</v>
          </cell>
          <cell r="B2">
            <v>2105.23</v>
          </cell>
          <cell r="C2">
            <v>2117.52</v>
          </cell>
          <cell r="D2">
            <v>2104.5</v>
          </cell>
          <cell r="E2">
            <v>2117.39</v>
          </cell>
          <cell r="F2">
            <v>2117.39</v>
          </cell>
        </row>
        <row r="3">
          <cell r="A3">
            <v>42066</v>
          </cell>
          <cell r="B3">
            <v>2115.7600000000002</v>
          </cell>
          <cell r="C3">
            <v>2115.7600000000002</v>
          </cell>
          <cell r="D3">
            <v>2098.2600000000002</v>
          </cell>
          <cell r="E3">
            <v>2107.7800000000002</v>
          </cell>
          <cell r="F3">
            <v>2107.7800000000002</v>
          </cell>
        </row>
        <row r="4">
          <cell r="A4">
            <v>42067</v>
          </cell>
          <cell r="B4">
            <v>2107.7199999999998</v>
          </cell>
          <cell r="C4">
            <v>2107.7199999999998</v>
          </cell>
          <cell r="D4">
            <v>2094.4899999999998</v>
          </cell>
          <cell r="E4">
            <v>2098.5300000000002</v>
          </cell>
          <cell r="F4">
            <v>2098.5300000000002</v>
          </cell>
        </row>
        <row r="5">
          <cell r="A5">
            <v>42068</v>
          </cell>
          <cell r="B5">
            <v>2098.54</v>
          </cell>
          <cell r="C5">
            <v>2104.25</v>
          </cell>
          <cell r="D5">
            <v>2095.2199999999998</v>
          </cell>
          <cell r="E5">
            <v>2101.04</v>
          </cell>
          <cell r="F5">
            <v>2101.04</v>
          </cell>
        </row>
        <row r="6">
          <cell r="A6">
            <v>42069</v>
          </cell>
          <cell r="B6">
            <v>2100.91</v>
          </cell>
          <cell r="C6">
            <v>2100.91</v>
          </cell>
          <cell r="D6">
            <v>2067.27</v>
          </cell>
          <cell r="E6">
            <v>2071.2600000000002</v>
          </cell>
          <cell r="F6">
            <v>2071.2600000000002</v>
          </cell>
        </row>
        <row r="7">
          <cell r="A7">
            <v>42072</v>
          </cell>
          <cell r="B7">
            <v>2072.25</v>
          </cell>
          <cell r="C7">
            <v>2083.4899999999998</v>
          </cell>
          <cell r="D7">
            <v>2072.21</v>
          </cell>
          <cell r="E7">
            <v>2079.4299999999998</v>
          </cell>
          <cell r="F7">
            <v>2079.4299999999998</v>
          </cell>
        </row>
        <row r="8">
          <cell r="A8">
            <v>42073</v>
          </cell>
          <cell r="B8">
            <v>2076.14</v>
          </cell>
          <cell r="C8">
            <v>2076.14</v>
          </cell>
          <cell r="D8">
            <v>2044.16</v>
          </cell>
          <cell r="E8">
            <v>2044.16</v>
          </cell>
          <cell r="F8">
            <v>2044.16</v>
          </cell>
        </row>
        <row r="9">
          <cell r="A9">
            <v>42074</v>
          </cell>
          <cell r="B9">
            <v>2044.69</v>
          </cell>
          <cell r="C9">
            <v>2050.08</v>
          </cell>
          <cell r="D9">
            <v>2039.69</v>
          </cell>
          <cell r="E9">
            <v>2040.24</v>
          </cell>
          <cell r="F9">
            <v>2040.24</v>
          </cell>
        </row>
        <row r="10">
          <cell r="A10">
            <v>42075</v>
          </cell>
          <cell r="B10">
            <v>2041.1</v>
          </cell>
          <cell r="C10">
            <v>2066.41</v>
          </cell>
          <cell r="D10">
            <v>2041.1</v>
          </cell>
          <cell r="E10">
            <v>2065.9499999999998</v>
          </cell>
          <cell r="F10">
            <v>2065.9499999999998</v>
          </cell>
        </row>
        <row r="11">
          <cell r="A11">
            <v>42076</v>
          </cell>
          <cell r="B11">
            <v>2064.56</v>
          </cell>
          <cell r="C11">
            <v>2064.56</v>
          </cell>
          <cell r="D11">
            <v>2041.17</v>
          </cell>
          <cell r="E11">
            <v>2053.4</v>
          </cell>
          <cell r="F11">
            <v>2053.4</v>
          </cell>
        </row>
        <row r="12">
          <cell r="A12">
            <v>42079</v>
          </cell>
          <cell r="B12">
            <v>2055.35</v>
          </cell>
          <cell r="C12">
            <v>2081.41</v>
          </cell>
          <cell r="D12">
            <v>2055.35</v>
          </cell>
          <cell r="E12">
            <v>2081.19</v>
          </cell>
          <cell r="F12">
            <v>2081.19</v>
          </cell>
        </row>
        <row r="13">
          <cell r="A13">
            <v>42080</v>
          </cell>
          <cell r="B13">
            <v>2080.59</v>
          </cell>
          <cell r="C13">
            <v>2080.59</v>
          </cell>
          <cell r="D13">
            <v>2065.08</v>
          </cell>
          <cell r="E13">
            <v>2074.2800000000002</v>
          </cell>
          <cell r="F13">
            <v>2074.2800000000002</v>
          </cell>
        </row>
        <row r="14">
          <cell r="A14">
            <v>42081</v>
          </cell>
          <cell r="B14">
            <v>2072.84</v>
          </cell>
          <cell r="C14">
            <v>2106.85</v>
          </cell>
          <cell r="D14">
            <v>2061.23</v>
          </cell>
          <cell r="E14">
            <v>2099.5</v>
          </cell>
          <cell r="F14">
            <v>2099.5</v>
          </cell>
        </row>
        <row r="15">
          <cell r="A15">
            <v>42082</v>
          </cell>
          <cell r="B15">
            <v>2098.69</v>
          </cell>
          <cell r="C15">
            <v>2098.69</v>
          </cell>
          <cell r="D15">
            <v>2085.56</v>
          </cell>
          <cell r="E15">
            <v>2089.27</v>
          </cell>
          <cell r="F15">
            <v>2089.27</v>
          </cell>
        </row>
        <row r="16">
          <cell r="A16">
            <v>42083</v>
          </cell>
          <cell r="B16">
            <v>2090.3200000000002</v>
          </cell>
          <cell r="C16">
            <v>2113.92</v>
          </cell>
          <cell r="D16">
            <v>2090.3200000000002</v>
          </cell>
          <cell r="E16">
            <v>2108.1</v>
          </cell>
          <cell r="F16">
            <v>2108.1</v>
          </cell>
        </row>
        <row r="17">
          <cell r="A17">
            <v>42086</v>
          </cell>
          <cell r="B17">
            <v>2107.9899999999998</v>
          </cell>
          <cell r="C17">
            <v>2114.86</v>
          </cell>
          <cell r="D17">
            <v>2104.42</v>
          </cell>
          <cell r="E17">
            <v>2104.42</v>
          </cell>
          <cell r="F17">
            <v>2104.42</v>
          </cell>
        </row>
        <row r="18">
          <cell r="A18">
            <v>42087</v>
          </cell>
          <cell r="B18">
            <v>2103.94</v>
          </cell>
          <cell r="C18">
            <v>2107.63</v>
          </cell>
          <cell r="D18">
            <v>2091.5</v>
          </cell>
          <cell r="E18">
            <v>2091.5</v>
          </cell>
          <cell r="F18">
            <v>2091.5</v>
          </cell>
        </row>
        <row r="19">
          <cell r="A19">
            <v>42088</v>
          </cell>
          <cell r="B19">
            <v>2093.1</v>
          </cell>
          <cell r="C19">
            <v>2097.4299999999998</v>
          </cell>
          <cell r="D19">
            <v>2061.0500000000002</v>
          </cell>
          <cell r="E19">
            <v>2061.0500000000002</v>
          </cell>
          <cell r="F19">
            <v>2061.0500000000002</v>
          </cell>
        </row>
        <row r="20">
          <cell r="A20">
            <v>42089</v>
          </cell>
          <cell r="B20">
            <v>2059.94</v>
          </cell>
          <cell r="C20">
            <v>2067.15</v>
          </cell>
          <cell r="D20">
            <v>2045.5</v>
          </cell>
          <cell r="E20">
            <v>2056.15</v>
          </cell>
          <cell r="F20">
            <v>2056.15</v>
          </cell>
        </row>
        <row r="21">
          <cell r="A21">
            <v>42090</v>
          </cell>
          <cell r="B21">
            <v>2055.7800000000002</v>
          </cell>
          <cell r="C21">
            <v>2062.83</v>
          </cell>
          <cell r="D21">
            <v>2052.96</v>
          </cell>
          <cell r="E21">
            <v>2061.02</v>
          </cell>
          <cell r="F21">
            <v>2061.02</v>
          </cell>
        </row>
        <row r="22">
          <cell r="A22">
            <v>42093</v>
          </cell>
          <cell r="B22">
            <v>2064.11</v>
          </cell>
          <cell r="C22">
            <v>2088.9699999999998</v>
          </cell>
          <cell r="D22">
            <v>2064.11</v>
          </cell>
          <cell r="E22">
            <v>2086.2399999999998</v>
          </cell>
          <cell r="F22">
            <v>2086.2399999999998</v>
          </cell>
        </row>
        <row r="23">
          <cell r="A23">
            <v>42094</v>
          </cell>
          <cell r="B23">
            <v>2084.0500000000002</v>
          </cell>
          <cell r="C23">
            <v>2084.0500000000002</v>
          </cell>
          <cell r="D23">
            <v>2067.04</v>
          </cell>
          <cell r="E23">
            <v>2067.89</v>
          </cell>
          <cell r="F23">
            <v>2067.89</v>
          </cell>
        </row>
        <row r="24">
          <cell r="A24">
            <v>42095</v>
          </cell>
          <cell r="B24">
            <v>2067.63</v>
          </cell>
          <cell r="C24">
            <v>2067.63</v>
          </cell>
          <cell r="D24">
            <v>2048.38</v>
          </cell>
          <cell r="E24">
            <v>2059.69</v>
          </cell>
          <cell r="F24">
            <v>2059.69</v>
          </cell>
        </row>
        <row r="25">
          <cell r="A25">
            <v>42096</v>
          </cell>
          <cell r="B25">
            <v>2060.0300000000002</v>
          </cell>
          <cell r="C25">
            <v>2072.17</v>
          </cell>
          <cell r="D25">
            <v>2057.3200000000002</v>
          </cell>
          <cell r="E25">
            <v>2066.96</v>
          </cell>
          <cell r="F25">
            <v>2066.96</v>
          </cell>
        </row>
        <row r="26">
          <cell r="A26">
            <v>42100</v>
          </cell>
          <cell r="B26">
            <v>2064.87</v>
          </cell>
          <cell r="C26">
            <v>2086.9899999999998</v>
          </cell>
          <cell r="D26">
            <v>2056.52</v>
          </cell>
          <cell r="E26">
            <v>2080.62</v>
          </cell>
          <cell r="F26">
            <v>2080.62</v>
          </cell>
        </row>
        <row r="27">
          <cell r="A27">
            <v>42101</v>
          </cell>
          <cell r="B27">
            <v>2080.79</v>
          </cell>
          <cell r="C27">
            <v>2089.81</v>
          </cell>
          <cell r="D27">
            <v>2076.1</v>
          </cell>
          <cell r="E27">
            <v>2076.33</v>
          </cell>
          <cell r="F27">
            <v>2076.33</v>
          </cell>
        </row>
        <row r="28">
          <cell r="A28">
            <v>42102</v>
          </cell>
          <cell r="B28">
            <v>2076.94</v>
          </cell>
          <cell r="C28">
            <v>2086.69</v>
          </cell>
          <cell r="D28">
            <v>2073.3000000000002</v>
          </cell>
          <cell r="E28">
            <v>2081.9</v>
          </cell>
          <cell r="F28">
            <v>2081.9</v>
          </cell>
        </row>
        <row r="29">
          <cell r="A29">
            <v>42103</v>
          </cell>
          <cell r="B29">
            <v>2081.29</v>
          </cell>
          <cell r="C29">
            <v>2093.31</v>
          </cell>
          <cell r="D29">
            <v>2074.29</v>
          </cell>
          <cell r="E29">
            <v>2091.1799999999998</v>
          </cell>
          <cell r="F29">
            <v>2091.1799999999998</v>
          </cell>
        </row>
        <row r="30">
          <cell r="A30">
            <v>42104</v>
          </cell>
          <cell r="B30">
            <v>2091.5100000000002</v>
          </cell>
          <cell r="C30">
            <v>2102.61</v>
          </cell>
          <cell r="D30">
            <v>2091.5100000000002</v>
          </cell>
          <cell r="E30">
            <v>2102.06</v>
          </cell>
          <cell r="F30">
            <v>2102.06</v>
          </cell>
        </row>
        <row r="31">
          <cell r="A31">
            <v>42107</v>
          </cell>
          <cell r="B31">
            <v>2102.0300000000002</v>
          </cell>
          <cell r="C31">
            <v>2107.65</v>
          </cell>
          <cell r="D31">
            <v>2092.33</v>
          </cell>
          <cell r="E31">
            <v>2092.4299999999998</v>
          </cell>
          <cell r="F31">
            <v>2092.4299999999998</v>
          </cell>
        </row>
        <row r="32">
          <cell r="A32">
            <v>42108</v>
          </cell>
          <cell r="B32">
            <v>2092.2800000000002</v>
          </cell>
          <cell r="C32">
            <v>2098.62</v>
          </cell>
          <cell r="D32">
            <v>2083.2399999999998</v>
          </cell>
          <cell r="E32">
            <v>2095.84</v>
          </cell>
          <cell r="F32">
            <v>2095.84</v>
          </cell>
        </row>
        <row r="33">
          <cell r="A33">
            <v>42109</v>
          </cell>
          <cell r="B33">
            <v>2097.8200000000002</v>
          </cell>
          <cell r="C33">
            <v>2111.91</v>
          </cell>
          <cell r="D33">
            <v>2097.8200000000002</v>
          </cell>
          <cell r="E33">
            <v>2106.63</v>
          </cell>
          <cell r="F33">
            <v>2106.63</v>
          </cell>
        </row>
        <row r="34">
          <cell r="A34">
            <v>42110</v>
          </cell>
          <cell r="B34">
            <v>2105.96</v>
          </cell>
          <cell r="C34">
            <v>2111.3000000000002</v>
          </cell>
          <cell r="D34">
            <v>2100.02</v>
          </cell>
          <cell r="E34">
            <v>2104.9899999999998</v>
          </cell>
          <cell r="F34">
            <v>2104.9899999999998</v>
          </cell>
        </row>
        <row r="35">
          <cell r="A35">
            <v>42111</v>
          </cell>
          <cell r="B35">
            <v>2102.58</v>
          </cell>
          <cell r="C35">
            <v>2102.58</v>
          </cell>
          <cell r="D35">
            <v>2072.37</v>
          </cell>
          <cell r="E35">
            <v>2081.1799999999998</v>
          </cell>
          <cell r="F35">
            <v>2081.1799999999998</v>
          </cell>
        </row>
        <row r="36">
          <cell r="A36">
            <v>42114</v>
          </cell>
          <cell r="B36">
            <v>2084.11</v>
          </cell>
          <cell r="C36">
            <v>2103.94</v>
          </cell>
          <cell r="D36">
            <v>2084.11</v>
          </cell>
          <cell r="E36">
            <v>2100.4</v>
          </cell>
          <cell r="F36">
            <v>2100.4</v>
          </cell>
        </row>
        <row r="37">
          <cell r="A37">
            <v>42115</v>
          </cell>
          <cell r="B37">
            <v>2102.8200000000002</v>
          </cell>
          <cell r="C37">
            <v>2109.64</v>
          </cell>
          <cell r="D37">
            <v>2094.38</v>
          </cell>
          <cell r="E37">
            <v>2097.29</v>
          </cell>
          <cell r="F37">
            <v>2097.29</v>
          </cell>
        </row>
        <row r="38">
          <cell r="A38">
            <v>42116</v>
          </cell>
          <cell r="B38">
            <v>2098.27</v>
          </cell>
          <cell r="C38">
            <v>2109.98</v>
          </cell>
          <cell r="D38">
            <v>2091.0500000000002</v>
          </cell>
          <cell r="E38">
            <v>2107.96</v>
          </cell>
          <cell r="F38">
            <v>2107.96</v>
          </cell>
        </row>
        <row r="39">
          <cell r="A39">
            <v>42117</v>
          </cell>
          <cell r="B39">
            <v>2107.21</v>
          </cell>
          <cell r="C39">
            <v>2120.4899999999998</v>
          </cell>
          <cell r="D39">
            <v>2103.19</v>
          </cell>
          <cell r="E39">
            <v>2112.9299999999998</v>
          </cell>
          <cell r="F39">
            <v>2112.9299999999998</v>
          </cell>
        </row>
        <row r="40">
          <cell r="A40">
            <v>42118</v>
          </cell>
          <cell r="B40">
            <v>2112.8000000000002</v>
          </cell>
          <cell r="C40">
            <v>2120.92</v>
          </cell>
          <cell r="D40">
            <v>2112.8000000000002</v>
          </cell>
          <cell r="E40">
            <v>2117.69</v>
          </cell>
          <cell r="F40">
            <v>2117.69</v>
          </cell>
        </row>
        <row r="41">
          <cell r="A41">
            <v>42121</v>
          </cell>
          <cell r="B41">
            <v>2119.29</v>
          </cell>
          <cell r="C41">
            <v>2125.92</v>
          </cell>
          <cell r="D41">
            <v>2107.04</v>
          </cell>
          <cell r="E41">
            <v>2108.92</v>
          </cell>
          <cell r="F41">
            <v>2108.92</v>
          </cell>
        </row>
        <row r="42">
          <cell r="A42">
            <v>42122</v>
          </cell>
          <cell r="B42">
            <v>2108.35</v>
          </cell>
          <cell r="C42">
            <v>2116.04</v>
          </cell>
          <cell r="D42">
            <v>2094.89</v>
          </cell>
          <cell r="E42">
            <v>2114.7600000000002</v>
          </cell>
          <cell r="F42">
            <v>2114.7600000000002</v>
          </cell>
        </row>
        <row r="43">
          <cell r="A43">
            <v>42123</v>
          </cell>
          <cell r="B43">
            <v>2112.4899999999998</v>
          </cell>
          <cell r="C43">
            <v>2113.65</v>
          </cell>
          <cell r="D43">
            <v>2097.41</v>
          </cell>
          <cell r="E43">
            <v>2106.85</v>
          </cell>
          <cell r="F43">
            <v>2106.85</v>
          </cell>
        </row>
        <row r="44">
          <cell r="A44">
            <v>42124</v>
          </cell>
          <cell r="B44">
            <v>2105.52</v>
          </cell>
          <cell r="C44">
            <v>2105.52</v>
          </cell>
          <cell r="D44">
            <v>2077.59</v>
          </cell>
          <cell r="E44">
            <v>2085.5100000000002</v>
          </cell>
          <cell r="F44">
            <v>2085.5100000000002</v>
          </cell>
        </row>
        <row r="45">
          <cell r="A45">
            <v>42125</v>
          </cell>
          <cell r="B45">
            <v>2087.38</v>
          </cell>
          <cell r="C45">
            <v>2108.41</v>
          </cell>
          <cell r="D45">
            <v>2087.38</v>
          </cell>
          <cell r="E45">
            <v>2108.29</v>
          </cell>
          <cell r="F45">
            <v>2108.29</v>
          </cell>
        </row>
        <row r="46">
          <cell r="A46">
            <v>42128</v>
          </cell>
          <cell r="B46">
            <v>2110.23</v>
          </cell>
          <cell r="C46">
            <v>2120.9499999999998</v>
          </cell>
          <cell r="D46">
            <v>2110.23</v>
          </cell>
          <cell r="E46">
            <v>2114.4899999999998</v>
          </cell>
          <cell r="F46">
            <v>2114.4899999999998</v>
          </cell>
        </row>
        <row r="47">
          <cell r="A47">
            <v>42129</v>
          </cell>
          <cell r="B47">
            <v>2112.63</v>
          </cell>
          <cell r="C47">
            <v>2115.2399999999998</v>
          </cell>
          <cell r="D47">
            <v>2088.46</v>
          </cell>
          <cell r="E47">
            <v>2089.46</v>
          </cell>
          <cell r="F47">
            <v>2089.46</v>
          </cell>
        </row>
        <row r="48">
          <cell r="A48">
            <v>42130</v>
          </cell>
          <cell r="B48">
            <v>2091.2600000000002</v>
          </cell>
          <cell r="C48">
            <v>2098.42</v>
          </cell>
          <cell r="D48">
            <v>2067.9299999999998</v>
          </cell>
          <cell r="E48">
            <v>2080.15</v>
          </cell>
          <cell r="F48">
            <v>2080.15</v>
          </cell>
        </row>
        <row r="49">
          <cell r="A49">
            <v>42131</v>
          </cell>
          <cell r="B49">
            <v>2079.96</v>
          </cell>
          <cell r="C49">
            <v>2092.9</v>
          </cell>
          <cell r="D49">
            <v>2074.9899999999998</v>
          </cell>
          <cell r="E49">
            <v>2088</v>
          </cell>
          <cell r="F49">
            <v>2088</v>
          </cell>
        </row>
        <row r="50">
          <cell r="A50">
            <v>42132</v>
          </cell>
          <cell r="B50">
            <v>2092.13</v>
          </cell>
          <cell r="C50">
            <v>2117.66</v>
          </cell>
          <cell r="D50">
            <v>2092.13</v>
          </cell>
          <cell r="E50">
            <v>2116.1</v>
          </cell>
          <cell r="F50">
            <v>2116.1</v>
          </cell>
        </row>
        <row r="51">
          <cell r="A51">
            <v>42135</v>
          </cell>
          <cell r="B51">
            <v>2115.56</v>
          </cell>
          <cell r="C51">
            <v>2117.69</v>
          </cell>
          <cell r="D51">
            <v>2104.58</v>
          </cell>
          <cell r="E51">
            <v>2105.33</v>
          </cell>
          <cell r="F51">
            <v>2105.33</v>
          </cell>
        </row>
        <row r="52">
          <cell r="A52">
            <v>42136</v>
          </cell>
          <cell r="B52">
            <v>2102.87</v>
          </cell>
          <cell r="C52">
            <v>2105.06</v>
          </cell>
          <cell r="D52">
            <v>2085.5700000000002</v>
          </cell>
          <cell r="E52">
            <v>2099.12</v>
          </cell>
          <cell r="F52">
            <v>2099.12</v>
          </cell>
        </row>
        <row r="53">
          <cell r="A53">
            <v>42137</v>
          </cell>
          <cell r="B53">
            <v>2099.62</v>
          </cell>
          <cell r="C53">
            <v>2110.19</v>
          </cell>
          <cell r="D53">
            <v>2096.04</v>
          </cell>
          <cell r="E53">
            <v>2098.48</v>
          </cell>
          <cell r="F53">
            <v>2098.48</v>
          </cell>
        </row>
        <row r="54">
          <cell r="A54">
            <v>42138</v>
          </cell>
          <cell r="B54">
            <v>2100.4299999999998</v>
          </cell>
          <cell r="C54">
            <v>2121.4499999999998</v>
          </cell>
          <cell r="D54">
            <v>2100.4299999999998</v>
          </cell>
          <cell r="E54">
            <v>2121.1</v>
          </cell>
          <cell r="F54">
            <v>2121.1</v>
          </cell>
        </row>
        <row r="55">
          <cell r="A55">
            <v>42139</v>
          </cell>
          <cell r="B55">
            <v>2122.0700000000002</v>
          </cell>
          <cell r="C55">
            <v>2123.89</v>
          </cell>
          <cell r="D55">
            <v>2116.81</v>
          </cell>
          <cell r="E55">
            <v>2122.73</v>
          </cell>
          <cell r="F55">
            <v>2122.73</v>
          </cell>
        </row>
        <row r="56">
          <cell r="A56">
            <v>42142</v>
          </cell>
          <cell r="B56">
            <v>2121.3000000000002</v>
          </cell>
          <cell r="C56">
            <v>2131.7800000000002</v>
          </cell>
          <cell r="D56">
            <v>2120.0100000000002</v>
          </cell>
          <cell r="E56">
            <v>2129.1999999999998</v>
          </cell>
          <cell r="F56">
            <v>2129.1999999999998</v>
          </cell>
        </row>
        <row r="57">
          <cell r="A57">
            <v>42143</v>
          </cell>
          <cell r="B57">
            <v>2129.4499999999998</v>
          </cell>
          <cell r="C57">
            <v>2133.02</v>
          </cell>
          <cell r="D57">
            <v>2124.5</v>
          </cell>
          <cell r="E57">
            <v>2127.83</v>
          </cell>
          <cell r="F57">
            <v>2127.83</v>
          </cell>
        </row>
        <row r="58">
          <cell r="A58">
            <v>42144</v>
          </cell>
          <cell r="B58">
            <v>2127.79</v>
          </cell>
          <cell r="C58">
            <v>2134.7199999999998</v>
          </cell>
          <cell r="D58">
            <v>2122.59</v>
          </cell>
          <cell r="E58">
            <v>2125.85</v>
          </cell>
          <cell r="F58">
            <v>2125.85</v>
          </cell>
        </row>
        <row r="59">
          <cell r="A59">
            <v>42145</v>
          </cell>
          <cell r="B59">
            <v>2125.5500000000002</v>
          </cell>
          <cell r="C59">
            <v>2134.2800000000002</v>
          </cell>
          <cell r="D59">
            <v>2122.9499999999998</v>
          </cell>
          <cell r="E59">
            <v>2130.8200000000002</v>
          </cell>
          <cell r="F59">
            <v>2130.8200000000002</v>
          </cell>
        </row>
        <row r="60">
          <cell r="A60">
            <v>42146</v>
          </cell>
          <cell r="B60">
            <v>2130.36</v>
          </cell>
          <cell r="C60">
            <v>2132.15</v>
          </cell>
          <cell r="D60">
            <v>2126.06</v>
          </cell>
          <cell r="E60">
            <v>2126.06</v>
          </cell>
          <cell r="F60">
            <v>2126.06</v>
          </cell>
        </row>
        <row r="61">
          <cell r="A61">
            <v>42150</v>
          </cell>
          <cell r="B61">
            <v>2125.34</v>
          </cell>
          <cell r="C61">
            <v>2125.34</v>
          </cell>
          <cell r="D61">
            <v>2099.1799999999998</v>
          </cell>
          <cell r="E61">
            <v>2104.1999999999998</v>
          </cell>
          <cell r="F61">
            <v>2104.1999999999998</v>
          </cell>
        </row>
        <row r="62">
          <cell r="A62">
            <v>42151</v>
          </cell>
          <cell r="B62">
            <v>2105.13</v>
          </cell>
          <cell r="C62">
            <v>2126.2199999999998</v>
          </cell>
          <cell r="D62">
            <v>2105.13</v>
          </cell>
          <cell r="E62">
            <v>2123.48</v>
          </cell>
          <cell r="F62">
            <v>2123.48</v>
          </cell>
        </row>
        <row r="63">
          <cell r="A63">
            <v>42152</v>
          </cell>
          <cell r="B63">
            <v>2122.27</v>
          </cell>
          <cell r="C63">
            <v>2122.27</v>
          </cell>
          <cell r="D63">
            <v>2112.86</v>
          </cell>
          <cell r="E63">
            <v>2120.79</v>
          </cell>
          <cell r="F63">
            <v>2120.79</v>
          </cell>
        </row>
        <row r="64">
          <cell r="A64">
            <v>42153</v>
          </cell>
          <cell r="B64">
            <v>2120.66</v>
          </cell>
          <cell r="C64">
            <v>2120.66</v>
          </cell>
          <cell r="D64">
            <v>2104.89</v>
          </cell>
          <cell r="E64">
            <v>2107.39</v>
          </cell>
          <cell r="F64">
            <v>2107.39</v>
          </cell>
        </row>
        <row r="65">
          <cell r="A65">
            <v>42156</v>
          </cell>
          <cell r="B65">
            <v>2108.64</v>
          </cell>
          <cell r="C65">
            <v>2119.15</v>
          </cell>
          <cell r="D65">
            <v>2102.54</v>
          </cell>
          <cell r="E65">
            <v>2111.73</v>
          </cell>
          <cell r="F65">
            <v>2111.73</v>
          </cell>
        </row>
        <row r="66">
          <cell r="A66">
            <v>42157</v>
          </cell>
          <cell r="B66">
            <v>2110.41</v>
          </cell>
          <cell r="C66">
            <v>2117.59</v>
          </cell>
          <cell r="D66">
            <v>2099.14</v>
          </cell>
          <cell r="E66">
            <v>2109.6</v>
          </cell>
          <cell r="F66">
            <v>2109.6</v>
          </cell>
        </row>
        <row r="67">
          <cell r="A67">
            <v>42158</v>
          </cell>
          <cell r="B67">
            <v>2110.64</v>
          </cell>
          <cell r="C67">
            <v>2121.92</v>
          </cell>
          <cell r="D67">
            <v>2109.61</v>
          </cell>
          <cell r="E67">
            <v>2114.0700000000002</v>
          </cell>
          <cell r="F67">
            <v>2114.0700000000002</v>
          </cell>
        </row>
        <row r="68">
          <cell r="A68">
            <v>42159</v>
          </cell>
          <cell r="B68">
            <v>2112.35</v>
          </cell>
          <cell r="C68">
            <v>2112.89</v>
          </cell>
          <cell r="D68">
            <v>2093.23</v>
          </cell>
          <cell r="E68">
            <v>2095.84</v>
          </cell>
          <cell r="F68">
            <v>2095.84</v>
          </cell>
        </row>
        <row r="69">
          <cell r="A69">
            <v>42160</v>
          </cell>
          <cell r="B69">
            <v>2095.09</v>
          </cell>
          <cell r="C69">
            <v>2100.9899999999998</v>
          </cell>
          <cell r="D69">
            <v>2085.67</v>
          </cell>
          <cell r="E69">
            <v>2092.83</v>
          </cell>
          <cell r="F69">
            <v>2092.83</v>
          </cell>
        </row>
        <row r="70">
          <cell r="A70">
            <v>42163</v>
          </cell>
          <cell r="B70">
            <v>2092.34</v>
          </cell>
          <cell r="C70">
            <v>2093.0100000000002</v>
          </cell>
          <cell r="D70">
            <v>2079.11</v>
          </cell>
          <cell r="E70">
            <v>2079.2800000000002</v>
          </cell>
          <cell r="F70">
            <v>2079.2800000000002</v>
          </cell>
        </row>
        <row r="71">
          <cell r="A71">
            <v>42164</v>
          </cell>
          <cell r="B71">
            <v>2079.0700000000002</v>
          </cell>
          <cell r="C71">
            <v>2085.62</v>
          </cell>
          <cell r="D71">
            <v>2072.14</v>
          </cell>
          <cell r="E71">
            <v>2080.15</v>
          </cell>
          <cell r="F71">
            <v>2080.15</v>
          </cell>
        </row>
        <row r="72">
          <cell r="A72">
            <v>42165</v>
          </cell>
          <cell r="B72">
            <v>2081.12</v>
          </cell>
          <cell r="C72">
            <v>2108.5</v>
          </cell>
          <cell r="D72">
            <v>2081.12</v>
          </cell>
          <cell r="E72">
            <v>2105.1999999999998</v>
          </cell>
          <cell r="F72">
            <v>2105.1999999999998</v>
          </cell>
        </row>
        <row r="73">
          <cell r="A73">
            <v>42166</v>
          </cell>
          <cell r="B73">
            <v>2106.2399999999998</v>
          </cell>
          <cell r="C73">
            <v>2115.02</v>
          </cell>
          <cell r="D73">
            <v>2106.2399999999998</v>
          </cell>
          <cell r="E73">
            <v>2108.86</v>
          </cell>
          <cell r="F73">
            <v>2108.86</v>
          </cell>
        </row>
        <row r="74">
          <cell r="A74">
            <v>42167</v>
          </cell>
          <cell r="B74">
            <v>2107.4299999999998</v>
          </cell>
          <cell r="C74">
            <v>2107.4299999999998</v>
          </cell>
          <cell r="D74">
            <v>2091.33</v>
          </cell>
          <cell r="E74">
            <v>2094.11</v>
          </cell>
          <cell r="F74">
            <v>2094.11</v>
          </cell>
        </row>
        <row r="75">
          <cell r="A75">
            <v>42170</v>
          </cell>
          <cell r="B75">
            <v>2091.34</v>
          </cell>
          <cell r="C75">
            <v>2091.34</v>
          </cell>
          <cell r="D75">
            <v>2072.4899999999998</v>
          </cell>
          <cell r="E75">
            <v>2084.4299999999998</v>
          </cell>
          <cell r="F75">
            <v>2084.4299999999998</v>
          </cell>
        </row>
        <row r="76">
          <cell r="A76">
            <v>42171</v>
          </cell>
          <cell r="B76">
            <v>2084.2600000000002</v>
          </cell>
          <cell r="C76">
            <v>2097.4</v>
          </cell>
          <cell r="D76">
            <v>2082.1</v>
          </cell>
          <cell r="E76">
            <v>2096.29</v>
          </cell>
          <cell r="F76">
            <v>2096.29</v>
          </cell>
        </row>
        <row r="77">
          <cell r="A77">
            <v>42172</v>
          </cell>
          <cell r="B77">
            <v>2097.4</v>
          </cell>
          <cell r="C77">
            <v>2106.79</v>
          </cell>
          <cell r="D77">
            <v>2088.86</v>
          </cell>
          <cell r="E77">
            <v>2100.44</v>
          </cell>
          <cell r="F77">
            <v>2100.44</v>
          </cell>
        </row>
        <row r="78">
          <cell r="A78">
            <v>42173</v>
          </cell>
          <cell r="B78">
            <v>2101.58</v>
          </cell>
          <cell r="C78">
            <v>2126.65</v>
          </cell>
          <cell r="D78">
            <v>2101.58</v>
          </cell>
          <cell r="E78">
            <v>2121.2399999999998</v>
          </cell>
          <cell r="F78">
            <v>2121.2399999999998</v>
          </cell>
        </row>
        <row r="79">
          <cell r="A79">
            <v>42174</v>
          </cell>
          <cell r="B79">
            <v>2121.06</v>
          </cell>
          <cell r="C79">
            <v>2121.64</v>
          </cell>
          <cell r="D79">
            <v>2109.4499999999998</v>
          </cell>
          <cell r="E79">
            <v>2109.9899999999998</v>
          </cell>
          <cell r="F79">
            <v>2109.9899999999998</v>
          </cell>
        </row>
        <row r="80">
          <cell r="A80">
            <v>42177</v>
          </cell>
          <cell r="B80">
            <v>2112.5</v>
          </cell>
          <cell r="C80">
            <v>2129.87</v>
          </cell>
          <cell r="D80">
            <v>2112.5</v>
          </cell>
          <cell r="E80">
            <v>2122.85</v>
          </cell>
          <cell r="F80">
            <v>2122.85</v>
          </cell>
        </row>
        <row r="81">
          <cell r="A81">
            <v>42178</v>
          </cell>
          <cell r="B81">
            <v>2123.16</v>
          </cell>
          <cell r="C81">
            <v>2128.0300000000002</v>
          </cell>
          <cell r="D81">
            <v>2119.89</v>
          </cell>
          <cell r="E81">
            <v>2124.1999999999998</v>
          </cell>
          <cell r="F81">
            <v>2124.1999999999998</v>
          </cell>
        </row>
        <row r="82">
          <cell r="A82">
            <v>42179</v>
          </cell>
          <cell r="B82">
            <v>2123.65</v>
          </cell>
          <cell r="C82">
            <v>2125.1</v>
          </cell>
          <cell r="D82">
            <v>2108.58</v>
          </cell>
          <cell r="E82">
            <v>2108.58</v>
          </cell>
          <cell r="F82">
            <v>2108.58</v>
          </cell>
        </row>
        <row r="83">
          <cell r="A83">
            <v>42180</v>
          </cell>
          <cell r="B83">
            <v>2109.96</v>
          </cell>
          <cell r="C83">
            <v>2116.04</v>
          </cell>
          <cell r="D83">
            <v>2101.7800000000002</v>
          </cell>
          <cell r="E83">
            <v>2102.31</v>
          </cell>
          <cell r="F83">
            <v>2102.31</v>
          </cell>
        </row>
        <row r="84">
          <cell r="A84">
            <v>42181</v>
          </cell>
          <cell r="B84">
            <v>2102.62</v>
          </cell>
          <cell r="C84">
            <v>2108.92</v>
          </cell>
          <cell r="D84">
            <v>2095.38</v>
          </cell>
          <cell r="E84">
            <v>2101.4899999999998</v>
          </cell>
          <cell r="F84">
            <v>2101.4899999999998</v>
          </cell>
        </row>
        <row r="85">
          <cell r="A85">
            <v>42184</v>
          </cell>
          <cell r="B85">
            <v>2098.63</v>
          </cell>
          <cell r="C85">
            <v>2098.63</v>
          </cell>
          <cell r="D85">
            <v>2056.64</v>
          </cell>
          <cell r="E85">
            <v>2057.64</v>
          </cell>
          <cell r="F85">
            <v>2057.64</v>
          </cell>
        </row>
        <row r="86">
          <cell r="A86">
            <v>42185</v>
          </cell>
          <cell r="B86">
            <v>2061.19</v>
          </cell>
          <cell r="C86">
            <v>2074.2800000000002</v>
          </cell>
          <cell r="D86">
            <v>2056.3200000000002</v>
          </cell>
          <cell r="E86">
            <v>2063.11</v>
          </cell>
          <cell r="F86">
            <v>2063.11</v>
          </cell>
        </row>
        <row r="87">
          <cell r="A87">
            <v>42186</v>
          </cell>
          <cell r="B87">
            <v>2067</v>
          </cell>
          <cell r="C87">
            <v>2082.7800000000002</v>
          </cell>
          <cell r="D87">
            <v>2067</v>
          </cell>
          <cell r="E87">
            <v>2077.42</v>
          </cell>
          <cell r="F87">
            <v>2077.42</v>
          </cell>
        </row>
        <row r="88">
          <cell r="A88">
            <v>42187</v>
          </cell>
          <cell r="B88">
            <v>2078.0300000000002</v>
          </cell>
          <cell r="C88">
            <v>2085.06</v>
          </cell>
          <cell r="D88">
            <v>2071.02</v>
          </cell>
          <cell r="E88">
            <v>2076.7800000000002</v>
          </cell>
          <cell r="F88">
            <v>2076.7800000000002</v>
          </cell>
        </row>
        <row r="89">
          <cell r="A89">
            <v>42191</v>
          </cell>
          <cell r="B89">
            <v>2073.9499999999998</v>
          </cell>
          <cell r="C89">
            <v>2078.61</v>
          </cell>
          <cell r="D89">
            <v>2058.4</v>
          </cell>
          <cell r="E89">
            <v>2068.7600000000002</v>
          </cell>
          <cell r="F89">
            <v>2068.7600000000002</v>
          </cell>
        </row>
        <row r="90">
          <cell r="A90">
            <v>42192</v>
          </cell>
          <cell r="B90">
            <v>2069.52</v>
          </cell>
          <cell r="C90">
            <v>2083.7399999999998</v>
          </cell>
          <cell r="D90">
            <v>2044.02</v>
          </cell>
          <cell r="E90">
            <v>2081.34</v>
          </cell>
          <cell r="F90">
            <v>2081.34</v>
          </cell>
        </row>
        <row r="91">
          <cell r="A91">
            <v>42193</v>
          </cell>
          <cell r="B91">
            <v>2077.66</v>
          </cell>
          <cell r="C91">
            <v>2077.66</v>
          </cell>
          <cell r="D91">
            <v>2044.66</v>
          </cell>
          <cell r="E91">
            <v>2046.68</v>
          </cell>
          <cell r="F91">
            <v>2046.68</v>
          </cell>
        </row>
        <row r="92">
          <cell r="A92">
            <v>42194</v>
          </cell>
          <cell r="B92">
            <v>2049.73</v>
          </cell>
          <cell r="C92">
            <v>2074.2800000000002</v>
          </cell>
          <cell r="D92">
            <v>2049.73</v>
          </cell>
          <cell r="E92">
            <v>2051.31</v>
          </cell>
          <cell r="F92">
            <v>2051.31</v>
          </cell>
        </row>
        <row r="93">
          <cell r="A93">
            <v>42195</v>
          </cell>
          <cell r="B93">
            <v>2052.7399999999998</v>
          </cell>
          <cell r="C93">
            <v>2081.31</v>
          </cell>
          <cell r="D93">
            <v>2052.7399999999998</v>
          </cell>
          <cell r="E93">
            <v>2076.62</v>
          </cell>
          <cell r="F93">
            <v>2076.62</v>
          </cell>
        </row>
        <row r="94">
          <cell r="A94">
            <v>42198</v>
          </cell>
          <cell r="B94">
            <v>2080.0300000000002</v>
          </cell>
          <cell r="C94">
            <v>2100.67</v>
          </cell>
          <cell r="D94">
            <v>2080.0300000000002</v>
          </cell>
          <cell r="E94">
            <v>2099.6</v>
          </cell>
          <cell r="F94">
            <v>2099.6</v>
          </cell>
        </row>
        <row r="95">
          <cell r="A95">
            <v>42199</v>
          </cell>
          <cell r="B95">
            <v>2099.7199999999998</v>
          </cell>
          <cell r="C95">
            <v>2111.98</v>
          </cell>
          <cell r="D95">
            <v>2098.1799999999998</v>
          </cell>
          <cell r="E95">
            <v>2108.9499999999998</v>
          </cell>
          <cell r="F95">
            <v>2108.9499999999998</v>
          </cell>
        </row>
        <row r="96">
          <cell r="A96">
            <v>42200</v>
          </cell>
          <cell r="B96">
            <v>2109.0100000000002</v>
          </cell>
          <cell r="C96">
            <v>2114.14</v>
          </cell>
          <cell r="D96">
            <v>2102.4899999999998</v>
          </cell>
          <cell r="E96">
            <v>2107.4</v>
          </cell>
          <cell r="F96">
            <v>2107.4</v>
          </cell>
        </row>
        <row r="97">
          <cell r="A97">
            <v>42201</v>
          </cell>
          <cell r="B97">
            <v>2110.5500000000002</v>
          </cell>
          <cell r="C97">
            <v>2124.42</v>
          </cell>
          <cell r="D97">
            <v>2110.5500000000002</v>
          </cell>
          <cell r="E97">
            <v>2124.29</v>
          </cell>
          <cell r="F97">
            <v>2124.29</v>
          </cell>
        </row>
        <row r="98">
          <cell r="A98">
            <v>42202</v>
          </cell>
          <cell r="B98">
            <v>2126.8000000000002</v>
          </cell>
          <cell r="C98">
            <v>2128.91</v>
          </cell>
          <cell r="D98">
            <v>2119.88</v>
          </cell>
          <cell r="E98">
            <v>2126.64</v>
          </cell>
          <cell r="F98">
            <v>2126.64</v>
          </cell>
        </row>
        <row r="99">
          <cell r="A99">
            <v>42205</v>
          </cell>
          <cell r="B99">
            <v>2126.85</v>
          </cell>
          <cell r="C99">
            <v>2132.8200000000002</v>
          </cell>
          <cell r="D99">
            <v>2123.66</v>
          </cell>
          <cell r="E99">
            <v>2128.2800000000002</v>
          </cell>
          <cell r="F99">
            <v>2128.2800000000002</v>
          </cell>
        </row>
        <row r="100">
          <cell r="A100">
            <v>42206</v>
          </cell>
          <cell r="B100">
            <v>2127.5500000000002</v>
          </cell>
          <cell r="C100">
            <v>2128.4899999999998</v>
          </cell>
          <cell r="D100">
            <v>2115.4</v>
          </cell>
          <cell r="E100">
            <v>2119.21</v>
          </cell>
          <cell r="F100">
            <v>2119.21</v>
          </cell>
        </row>
        <row r="101">
          <cell r="A101">
            <v>42207</v>
          </cell>
          <cell r="B101">
            <v>2118.21</v>
          </cell>
          <cell r="C101">
            <v>2118.5100000000002</v>
          </cell>
          <cell r="D101">
            <v>2110</v>
          </cell>
          <cell r="E101">
            <v>2114.15</v>
          </cell>
          <cell r="F101">
            <v>2114.15</v>
          </cell>
        </row>
        <row r="102">
          <cell r="A102">
            <v>42208</v>
          </cell>
          <cell r="B102">
            <v>2114.16</v>
          </cell>
          <cell r="C102">
            <v>2116.87</v>
          </cell>
          <cell r="D102">
            <v>2098.63</v>
          </cell>
          <cell r="E102">
            <v>2102.15</v>
          </cell>
          <cell r="F102">
            <v>2102.15</v>
          </cell>
        </row>
        <row r="103">
          <cell r="A103">
            <v>42209</v>
          </cell>
          <cell r="B103">
            <v>2102.2399999999998</v>
          </cell>
          <cell r="C103">
            <v>2106.0100000000002</v>
          </cell>
          <cell r="D103">
            <v>2077.09</v>
          </cell>
          <cell r="E103">
            <v>2079.65</v>
          </cell>
          <cell r="F103">
            <v>2079.65</v>
          </cell>
        </row>
        <row r="104">
          <cell r="A104">
            <v>42212</v>
          </cell>
          <cell r="B104">
            <v>2078.19</v>
          </cell>
          <cell r="C104">
            <v>2078.19</v>
          </cell>
          <cell r="D104">
            <v>2063.52</v>
          </cell>
          <cell r="E104">
            <v>2067.64</v>
          </cell>
          <cell r="F104">
            <v>2067.64</v>
          </cell>
        </row>
        <row r="105">
          <cell r="A105">
            <v>42213</v>
          </cell>
          <cell r="B105">
            <v>2070.75</v>
          </cell>
          <cell r="C105">
            <v>2095.6</v>
          </cell>
          <cell r="D105">
            <v>2069.09</v>
          </cell>
          <cell r="E105">
            <v>2093.25</v>
          </cell>
          <cell r="F105">
            <v>2093.25</v>
          </cell>
        </row>
        <row r="106">
          <cell r="A106">
            <v>42214</v>
          </cell>
          <cell r="B106">
            <v>2094.6999999999998</v>
          </cell>
          <cell r="C106">
            <v>2110.6</v>
          </cell>
          <cell r="D106">
            <v>2094.08</v>
          </cell>
          <cell r="E106">
            <v>2108.5700000000002</v>
          </cell>
          <cell r="F106">
            <v>2108.5700000000002</v>
          </cell>
        </row>
        <row r="107">
          <cell r="A107">
            <v>42215</v>
          </cell>
          <cell r="B107">
            <v>2106.7800000000002</v>
          </cell>
          <cell r="C107">
            <v>2110.48</v>
          </cell>
          <cell r="D107">
            <v>2094.9699999999998</v>
          </cell>
          <cell r="E107">
            <v>2108.63</v>
          </cell>
          <cell r="F107">
            <v>2108.63</v>
          </cell>
        </row>
        <row r="108">
          <cell r="A108">
            <v>42216</v>
          </cell>
          <cell r="B108">
            <v>2111.6</v>
          </cell>
          <cell r="C108">
            <v>2114.2399999999998</v>
          </cell>
          <cell r="D108">
            <v>2102.0700000000002</v>
          </cell>
          <cell r="E108">
            <v>2103.84</v>
          </cell>
          <cell r="F108">
            <v>2103.84</v>
          </cell>
        </row>
        <row r="109">
          <cell r="A109">
            <v>42219</v>
          </cell>
          <cell r="B109">
            <v>2104.4899999999998</v>
          </cell>
          <cell r="C109">
            <v>2105.6999999999998</v>
          </cell>
          <cell r="D109">
            <v>2087.31</v>
          </cell>
          <cell r="E109">
            <v>2098.04</v>
          </cell>
          <cell r="F109">
            <v>2098.04</v>
          </cell>
        </row>
        <row r="110">
          <cell r="A110">
            <v>42220</v>
          </cell>
          <cell r="B110">
            <v>2097.6799999999998</v>
          </cell>
          <cell r="C110">
            <v>2102.5100000000002</v>
          </cell>
          <cell r="D110">
            <v>2088.6</v>
          </cell>
          <cell r="E110">
            <v>2093.3200000000002</v>
          </cell>
          <cell r="F110">
            <v>2093.3200000000002</v>
          </cell>
        </row>
        <row r="111">
          <cell r="A111">
            <v>42221</v>
          </cell>
          <cell r="B111">
            <v>2095.27</v>
          </cell>
          <cell r="C111">
            <v>2112.66</v>
          </cell>
          <cell r="D111">
            <v>2095.27</v>
          </cell>
          <cell r="E111">
            <v>2099.84</v>
          </cell>
          <cell r="F111">
            <v>2099.84</v>
          </cell>
        </row>
        <row r="112">
          <cell r="A112">
            <v>42222</v>
          </cell>
          <cell r="B112">
            <v>2100.75</v>
          </cell>
          <cell r="C112">
            <v>2103.3200000000002</v>
          </cell>
          <cell r="D112">
            <v>2075.5300000000002</v>
          </cell>
          <cell r="E112">
            <v>2083.56</v>
          </cell>
          <cell r="F112">
            <v>2083.56</v>
          </cell>
        </row>
        <row r="113">
          <cell r="A113">
            <v>42223</v>
          </cell>
          <cell r="B113">
            <v>2082.61</v>
          </cell>
          <cell r="C113">
            <v>2082.61</v>
          </cell>
          <cell r="D113">
            <v>2067.91</v>
          </cell>
          <cell r="E113">
            <v>2077.5700000000002</v>
          </cell>
          <cell r="F113">
            <v>2077.5700000000002</v>
          </cell>
        </row>
        <row r="114">
          <cell r="A114">
            <v>42226</v>
          </cell>
          <cell r="B114">
            <v>2080.98</v>
          </cell>
          <cell r="C114">
            <v>2105.35</v>
          </cell>
          <cell r="D114">
            <v>2080.98</v>
          </cell>
          <cell r="E114">
            <v>2104.1799999999998</v>
          </cell>
          <cell r="F114">
            <v>2104.1799999999998</v>
          </cell>
        </row>
        <row r="115">
          <cell r="A115">
            <v>42227</v>
          </cell>
          <cell r="B115">
            <v>2102.66</v>
          </cell>
          <cell r="C115">
            <v>2102.66</v>
          </cell>
          <cell r="D115">
            <v>2076.4899999999998</v>
          </cell>
          <cell r="E115">
            <v>2084.0700000000002</v>
          </cell>
          <cell r="F115">
            <v>2084.0700000000002</v>
          </cell>
        </row>
        <row r="116">
          <cell r="A116">
            <v>42228</v>
          </cell>
          <cell r="B116">
            <v>2081.1</v>
          </cell>
          <cell r="C116">
            <v>2089.06</v>
          </cell>
          <cell r="D116">
            <v>2052.09</v>
          </cell>
          <cell r="E116">
            <v>2086.0500000000002</v>
          </cell>
          <cell r="F116">
            <v>2086.0500000000002</v>
          </cell>
        </row>
        <row r="117">
          <cell r="A117">
            <v>42229</v>
          </cell>
          <cell r="B117">
            <v>2086.19</v>
          </cell>
          <cell r="C117">
            <v>2092.9299999999998</v>
          </cell>
          <cell r="D117">
            <v>2078.2600000000002</v>
          </cell>
          <cell r="E117">
            <v>2083.39</v>
          </cell>
          <cell r="F117">
            <v>2083.39</v>
          </cell>
        </row>
        <row r="118">
          <cell r="A118">
            <v>42230</v>
          </cell>
          <cell r="B118">
            <v>2083.15</v>
          </cell>
          <cell r="C118">
            <v>2092.4499999999998</v>
          </cell>
          <cell r="D118">
            <v>2080.61</v>
          </cell>
          <cell r="E118">
            <v>2091.54</v>
          </cell>
          <cell r="F118">
            <v>2091.54</v>
          </cell>
        </row>
        <row r="119">
          <cell r="A119">
            <v>42233</v>
          </cell>
          <cell r="B119">
            <v>2089.6999999999998</v>
          </cell>
          <cell r="C119">
            <v>2102.87</v>
          </cell>
          <cell r="D119">
            <v>2079.3000000000002</v>
          </cell>
          <cell r="E119">
            <v>2102.44</v>
          </cell>
          <cell r="F119">
            <v>2102.44</v>
          </cell>
        </row>
        <row r="120">
          <cell r="A120">
            <v>42234</v>
          </cell>
          <cell r="B120">
            <v>2101.9899999999998</v>
          </cell>
          <cell r="C120">
            <v>2103.4699999999998</v>
          </cell>
          <cell r="D120">
            <v>2094.14</v>
          </cell>
          <cell r="E120">
            <v>2096.92</v>
          </cell>
          <cell r="F120">
            <v>2096.92</v>
          </cell>
        </row>
        <row r="121">
          <cell r="A121">
            <v>42235</v>
          </cell>
          <cell r="B121">
            <v>2095.69</v>
          </cell>
          <cell r="C121">
            <v>2096.17</v>
          </cell>
          <cell r="D121">
            <v>2070.5300000000002</v>
          </cell>
          <cell r="E121">
            <v>2079.61</v>
          </cell>
          <cell r="F121">
            <v>2079.61</v>
          </cell>
        </row>
        <row r="122">
          <cell r="A122">
            <v>42236</v>
          </cell>
          <cell r="B122">
            <v>2076.61</v>
          </cell>
          <cell r="C122">
            <v>2076.61</v>
          </cell>
          <cell r="D122">
            <v>2035.73</v>
          </cell>
          <cell r="E122">
            <v>2035.73</v>
          </cell>
          <cell r="F122">
            <v>2035.73</v>
          </cell>
        </row>
        <row r="123">
          <cell r="A123">
            <v>42237</v>
          </cell>
          <cell r="B123">
            <v>2034.08</v>
          </cell>
          <cell r="C123">
            <v>2034.08</v>
          </cell>
          <cell r="D123">
            <v>1970.89</v>
          </cell>
          <cell r="E123">
            <v>1970.89</v>
          </cell>
          <cell r="F123">
            <v>1970.89</v>
          </cell>
        </row>
        <row r="124">
          <cell r="A124">
            <v>42240</v>
          </cell>
          <cell r="B124">
            <v>1965.15</v>
          </cell>
          <cell r="C124">
            <v>1965.15</v>
          </cell>
          <cell r="D124">
            <v>1867.01</v>
          </cell>
          <cell r="E124">
            <v>1893.21</v>
          </cell>
          <cell r="F124">
            <v>1893.21</v>
          </cell>
        </row>
        <row r="125">
          <cell r="A125">
            <v>42241</v>
          </cell>
          <cell r="B125">
            <v>1898.08</v>
          </cell>
          <cell r="C125">
            <v>1948.04</v>
          </cell>
          <cell r="D125">
            <v>1867.08</v>
          </cell>
          <cell r="E125">
            <v>1867.61</v>
          </cell>
          <cell r="F125">
            <v>1867.61</v>
          </cell>
        </row>
        <row r="126">
          <cell r="A126">
            <v>42242</v>
          </cell>
          <cell r="B126">
            <v>1872.75</v>
          </cell>
          <cell r="C126">
            <v>1943.09</v>
          </cell>
          <cell r="D126">
            <v>1872.75</v>
          </cell>
          <cell r="E126">
            <v>1940.51</v>
          </cell>
          <cell r="F126">
            <v>1940.51</v>
          </cell>
        </row>
        <row r="127">
          <cell r="A127">
            <v>42243</v>
          </cell>
          <cell r="B127">
            <v>1942.77</v>
          </cell>
          <cell r="C127">
            <v>1989.6</v>
          </cell>
          <cell r="D127">
            <v>1942.77</v>
          </cell>
          <cell r="E127">
            <v>1987.66</v>
          </cell>
          <cell r="F127">
            <v>1987.66</v>
          </cell>
        </row>
        <row r="128">
          <cell r="A128">
            <v>42244</v>
          </cell>
          <cell r="B128">
            <v>1986.06</v>
          </cell>
          <cell r="C128">
            <v>1993.48</v>
          </cell>
          <cell r="D128">
            <v>1975.19</v>
          </cell>
          <cell r="E128">
            <v>1988.87</v>
          </cell>
          <cell r="F128">
            <v>1988.87</v>
          </cell>
        </row>
        <row r="129">
          <cell r="A129">
            <v>42247</v>
          </cell>
          <cell r="B129">
            <v>1986.73</v>
          </cell>
          <cell r="C129">
            <v>1986.73</v>
          </cell>
          <cell r="D129">
            <v>1965.98</v>
          </cell>
          <cell r="E129">
            <v>1972.18</v>
          </cell>
          <cell r="F129">
            <v>1972.18</v>
          </cell>
        </row>
        <row r="130">
          <cell r="A130">
            <v>42248</v>
          </cell>
          <cell r="B130">
            <v>1970.09</v>
          </cell>
          <cell r="C130">
            <v>1970.09</v>
          </cell>
          <cell r="D130">
            <v>1903.07</v>
          </cell>
          <cell r="E130">
            <v>1913.85</v>
          </cell>
          <cell r="F130">
            <v>1913.85</v>
          </cell>
        </row>
        <row r="131">
          <cell r="A131">
            <v>42249</v>
          </cell>
          <cell r="B131">
            <v>1916.52</v>
          </cell>
          <cell r="C131">
            <v>1948.91</v>
          </cell>
          <cell r="D131">
            <v>1916.52</v>
          </cell>
          <cell r="E131">
            <v>1948.86</v>
          </cell>
          <cell r="F131">
            <v>1948.86</v>
          </cell>
        </row>
        <row r="132">
          <cell r="A132">
            <v>42250</v>
          </cell>
          <cell r="B132">
            <v>1950.79</v>
          </cell>
          <cell r="C132">
            <v>1975.01</v>
          </cell>
          <cell r="D132">
            <v>1944.72</v>
          </cell>
          <cell r="E132">
            <v>1951.13</v>
          </cell>
          <cell r="F132">
            <v>1951.13</v>
          </cell>
        </row>
        <row r="133">
          <cell r="A133">
            <v>42251</v>
          </cell>
          <cell r="B133">
            <v>1947.76</v>
          </cell>
          <cell r="C133">
            <v>1947.76</v>
          </cell>
          <cell r="D133">
            <v>1911.21</v>
          </cell>
          <cell r="E133">
            <v>1921.22</v>
          </cell>
          <cell r="F133">
            <v>1921.22</v>
          </cell>
        </row>
        <row r="134">
          <cell r="A134">
            <v>42255</v>
          </cell>
          <cell r="B134">
            <v>1927.3</v>
          </cell>
          <cell r="C134">
            <v>1970.42</v>
          </cell>
          <cell r="D134">
            <v>1927.3</v>
          </cell>
          <cell r="E134">
            <v>1969.41</v>
          </cell>
          <cell r="F134">
            <v>1969.41</v>
          </cell>
        </row>
        <row r="135">
          <cell r="A135">
            <v>42256</v>
          </cell>
          <cell r="B135">
            <v>1971.45</v>
          </cell>
          <cell r="C135">
            <v>1988.63</v>
          </cell>
          <cell r="D135">
            <v>1937.88</v>
          </cell>
          <cell r="E135">
            <v>1942.04</v>
          </cell>
          <cell r="F135">
            <v>1942.04</v>
          </cell>
        </row>
        <row r="136">
          <cell r="A136">
            <v>42257</v>
          </cell>
          <cell r="B136">
            <v>1941.59</v>
          </cell>
          <cell r="C136">
            <v>1965.29</v>
          </cell>
          <cell r="D136">
            <v>1937.19</v>
          </cell>
          <cell r="E136">
            <v>1952.29</v>
          </cell>
          <cell r="F136">
            <v>1952.29</v>
          </cell>
        </row>
        <row r="137">
          <cell r="A137">
            <v>42258</v>
          </cell>
          <cell r="B137">
            <v>1951.45</v>
          </cell>
          <cell r="C137">
            <v>1961.05</v>
          </cell>
          <cell r="D137">
            <v>1939.19</v>
          </cell>
          <cell r="E137">
            <v>1961.05</v>
          </cell>
          <cell r="F137">
            <v>1961.05</v>
          </cell>
        </row>
        <row r="138">
          <cell r="A138">
            <v>42261</v>
          </cell>
          <cell r="B138">
            <v>1963.06</v>
          </cell>
          <cell r="C138">
            <v>1963.06</v>
          </cell>
          <cell r="D138">
            <v>1948.27</v>
          </cell>
          <cell r="E138">
            <v>1953.03</v>
          </cell>
          <cell r="F138">
            <v>1953.03</v>
          </cell>
        </row>
        <row r="139">
          <cell r="A139">
            <v>42262</v>
          </cell>
          <cell r="B139">
            <v>1955.1</v>
          </cell>
          <cell r="C139">
            <v>1983.19</v>
          </cell>
          <cell r="D139">
            <v>1954.3</v>
          </cell>
          <cell r="E139">
            <v>1978.09</v>
          </cell>
          <cell r="F139">
            <v>1978.09</v>
          </cell>
        </row>
        <row r="140">
          <cell r="A140">
            <v>42263</v>
          </cell>
          <cell r="B140">
            <v>1978.02</v>
          </cell>
          <cell r="C140">
            <v>1997.26</v>
          </cell>
          <cell r="D140">
            <v>1977.93</v>
          </cell>
          <cell r="E140">
            <v>1995.31</v>
          </cell>
          <cell r="F140">
            <v>1995.31</v>
          </cell>
        </row>
        <row r="141">
          <cell r="A141">
            <v>42264</v>
          </cell>
          <cell r="B141">
            <v>1995.33</v>
          </cell>
          <cell r="C141">
            <v>2020.86</v>
          </cell>
          <cell r="D141">
            <v>1986.73</v>
          </cell>
          <cell r="E141">
            <v>1990.2</v>
          </cell>
          <cell r="F141">
            <v>1990.2</v>
          </cell>
        </row>
        <row r="142">
          <cell r="A142">
            <v>42265</v>
          </cell>
          <cell r="B142">
            <v>1989.66</v>
          </cell>
          <cell r="C142">
            <v>1989.66</v>
          </cell>
          <cell r="D142">
            <v>1953.45</v>
          </cell>
          <cell r="E142">
            <v>1958.03</v>
          </cell>
          <cell r="F142">
            <v>1958.03</v>
          </cell>
        </row>
        <row r="143">
          <cell r="A143">
            <v>42268</v>
          </cell>
          <cell r="B143">
            <v>1960.84</v>
          </cell>
          <cell r="C143">
            <v>1979.64</v>
          </cell>
          <cell r="D143">
            <v>1955.8</v>
          </cell>
          <cell r="E143">
            <v>1966.97</v>
          </cell>
          <cell r="F143">
            <v>1966.97</v>
          </cell>
        </row>
        <row r="144">
          <cell r="A144">
            <v>42269</v>
          </cell>
          <cell r="B144">
            <v>1961.39</v>
          </cell>
          <cell r="C144">
            <v>1961.39</v>
          </cell>
          <cell r="D144">
            <v>1929.22</v>
          </cell>
          <cell r="E144">
            <v>1942.74</v>
          </cell>
          <cell r="F144">
            <v>1942.74</v>
          </cell>
        </row>
        <row r="145">
          <cell r="A145">
            <v>42270</v>
          </cell>
          <cell r="B145">
            <v>1943.24</v>
          </cell>
          <cell r="C145">
            <v>1949.52</v>
          </cell>
          <cell r="D145">
            <v>1932.57</v>
          </cell>
          <cell r="E145">
            <v>1938.76</v>
          </cell>
          <cell r="F145">
            <v>1938.76</v>
          </cell>
        </row>
        <row r="146">
          <cell r="A146">
            <v>42271</v>
          </cell>
          <cell r="B146">
            <v>1934.81</v>
          </cell>
          <cell r="C146">
            <v>1937.17</v>
          </cell>
          <cell r="D146">
            <v>1908.92</v>
          </cell>
          <cell r="E146">
            <v>1932.24</v>
          </cell>
          <cell r="F146">
            <v>1932.24</v>
          </cell>
        </row>
        <row r="147">
          <cell r="A147">
            <v>42272</v>
          </cell>
          <cell r="B147">
            <v>1935.93</v>
          </cell>
          <cell r="C147">
            <v>1952.89</v>
          </cell>
          <cell r="D147">
            <v>1921.5</v>
          </cell>
          <cell r="E147">
            <v>1931.34</v>
          </cell>
          <cell r="F147">
            <v>1931.34</v>
          </cell>
        </row>
        <row r="148">
          <cell r="A148">
            <v>42275</v>
          </cell>
          <cell r="B148">
            <v>1929.18</v>
          </cell>
          <cell r="C148">
            <v>1929.18</v>
          </cell>
          <cell r="D148">
            <v>1879.21</v>
          </cell>
          <cell r="E148">
            <v>1881.77</v>
          </cell>
          <cell r="F148">
            <v>1881.77</v>
          </cell>
        </row>
        <row r="149">
          <cell r="A149">
            <v>42276</v>
          </cell>
          <cell r="B149">
            <v>1881.9</v>
          </cell>
          <cell r="C149">
            <v>1899.48</v>
          </cell>
          <cell r="D149">
            <v>1871.91</v>
          </cell>
          <cell r="E149">
            <v>1884.09</v>
          </cell>
          <cell r="F149">
            <v>1884.09</v>
          </cell>
        </row>
        <row r="150">
          <cell r="A150">
            <v>42277</v>
          </cell>
          <cell r="B150">
            <v>1887.14</v>
          </cell>
          <cell r="C150">
            <v>1920.53</v>
          </cell>
          <cell r="D150">
            <v>1887.14</v>
          </cell>
          <cell r="E150">
            <v>1920.03</v>
          </cell>
          <cell r="F150">
            <v>1920.03</v>
          </cell>
        </row>
        <row r="151">
          <cell r="A151">
            <v>42278</v>
          </cell>
          <cell r="B151">
            <v>1919.65</v>
          </cell>
          <cell r="C151">
            <v>1927.21</v>
          </cell>
          <cell r="D151">
            <v>1900.7</v>
          </cell>
          <cell r="E151">
            <v>1923.82</v>
          </cell>
          <cell r="F151">
            <v>1923.82</v>
          </cell>
        </row>
        <row r="152">
          <cell r="A152">
            <v>42279</v>
          </cell>
          <cell r="B152">
            <v>1921.77</v>
          </cell>
          <cell r="C152">
            <v>1951.36</v>
          </cell>
          <cell r="D152">
            <v>1893.7</v>
          </cell>
          <cell r="E152">
            <v>1951.36</v>
          </cell>
          <cell r="F152">
            <v>1951.36</v>
          </cell>
        </row>
        <row r="153">
          <cell r="A153">
            <v>42282</v>
          </cell>
          <cell r="B153">
            <v>1954.33</v>
          </cell>
          <cell r="C153">
            <v>1989.17</v>
          </cell>
          <cell r="D153">
            <v>1954.33</v>
          </cell>
          <cell r="E153">
            <v>1987.05</v>
          </cell>
          <cell r="F153">
            <v>1987.05</v>
          </cell>
        </row>
        <row r="154">
          <cell r="A154">
            <v>42283</v>
          </cell>
          <cell r="B154">
            <v>1986.63</v>
          </cell>
          <cell r="C154">
            <v>1991.62</v>
          </cell>
          <cell r="D154">
            <v>1971.99</v>
          </cell>
          <cell r="E154">
            <v>1979.92</v>
          </cell>
          <cell r="F154">
            <v>1979.92</v>
          </cell>
        </row>
        <row r="155">
          <cell r="A155">
            <v>42284</v>
          </cell>
          <cell r="B155">
            <v>1982.34</v>
          </cell>
          <cell r="C155">
            <v>1999.31</v>
          </cell>
          <cell r="D155">
            <v>1976.44</v>
          </cell>
          <cell r="E155">
            <v>1995.83</v>
          </cell>
          <cell r="F155">
            <v>1995.83</v>
          </cell>
        </row>
        <row r="156">
          <cell r="A156">
            <v>42285</v>
          </cell>
          <cell r="B156">
            <v>1994.01</v>
          </cell>
          <cell r="C156">
            <v>2016.5</v>
          </cell>
          <cell r="D156">
            <v>1987.53</v>
          </cell>
          <cell r="E156">
            <v>2013.43</v>
          </cell>
          <cell r="F156">
            <v>2013.43</v>
          </cell>
        </row>
        <row r="157">
          <cell r="A157">
            <v>42286</v>
          </cell>
          <cell r="B157">
            <v>2013.73</v>
          </cell>
          <cell r="C157">
            <v>2020.13</v>
          </cell>
          <cell r="D157">
            <v>2007.61</v>
          </cell>
          <cell r="E157">
            <v>2014.89</v>
          </cell>
          <cell r="F157">
            <v>2014.89</v>
          </cell>
        </row>
        <row r="158">
          <cell r="A158">
            <v>42289</v>
          </cell>
          <cell r="B158">
            <v>2015.65</v>
          </cell>
          <cell r="C158">
            <v>2018.66</v>
          </cell>
          <cell r="D158">
            <v>2010.55</v>
          </cell>
          <cell r="E158">
            <v>2017.46</v>
          </cell>
          <cell r="F158">
            <v>2017.46</v>
          </cell>
        </row>
        <row r="159">
          <cell r="A159">
            <v>42290</v>
          </cell>
          <cell r="B159">
            <v>2015</v>
          </cell>
          <cell r="C159">
            <v>2022.34</v>
          </cell>
          <cell r="D159">
            <v>2001.78</v>
          </cell>
          <cell r="E159">
            <v>2003.69</v>
          </cell>
          <cell r="F159">
            <v>2003.69</v>
          </cell>
        </row>
        <row r="160">
          <cell r="A160">
            <v>42291</v>
          </cell>
          <cell r="B160">
            <v>2003.66</v>
          </cell>
          <cell r="C160">
            <v>2009.56</v>
          </cell>
          <cell r="D160">
            <v>1990.73</v>
          </cell>
          <cell r="E160">
            <v>1994.24</v>
          </cell>
          <cell r="F160">
            <v>1994.24</v>
          </cell>
        </row>
        <row r="161">
          <cell r="A161">
            <v>42292</v>
          </cell>
          <cell r="B161">
            <v>1996.47</v>
          </cell>
          <cell r="C161">
            <v>2024.15</v>
          </cell>
          <cell r="D161">
            <v>1996.47</v>
          </cell>
          <cell r="E161">
            <v>2023.86</v>
          </cell>
          <cell r="F161">
            <v>2023.86</v>
          </cell>
        </row>
        <row r="162">
          <cell r="A162">
            <v>42293</v>
          </cell>
          <cell r="B162">
            <v>2024.37</v>
          </cell>
          <cell r="C162">
            <v>2033.54</v>
          </cell>
          <cell r="D162">
            <v>2020.46</v>
          </cell>
          <cell r="E162">
            <v>2033.11</v>
          </cell>
          <cell r="F162">
            <v>2033.11</v>
          </cell>
        </row>
        <row r="163">
          <cell r="A163">
            <v>42296</v>
          </cell>
          <cell r="B163">
            <v>2031.73</v>
          </cell>
          <cell r="C163">
            <v>2034.45</v>
          </cell>
          <cell r="D163">
            <v>2022.31</v>
          </cell>
          <cell r="E163">
            <v>2033.66</v>
          </cell>
          <cell r="F163">
            <v>2033.66</v>
          </cell>
        </row>
        <row r="164">
          <cell r="A164">
            <v>42297</v>
          </cell>
          <cell r="B164">
            <v>2033.13</v>
          </cell>
          <cell r="C164">
            <v>2039.12</v>
          </cell>
          <cell r="D164">
            <v>2026.61</v>
          </cell>
          <cell r="E164">
            <v>2030.77</v>
          </cell>
          <cell r="F164">
            <v>2030.77</v>
          </cell>
        </row>
        <row r="165">
          <cell r="A165">
            <v>42298</v>
          </cell>
          <cell r="B165">
            <v>2033.47</v>
          </cell>
          <cell r="C165">
            <v>2037.97</v>
          </cell>
          <cell r="D165">
            <v>2017.22</v>
          </cell>
          <cell r="E165">
            <v>2018.94</v>
          </cell>
          <cell r="F165">
            <v>2018.94</v>
          </cell>
        </row>
        <row r="166">
          <cell r="A166">
            <v>42299</v>
          </cell>
          <cell r="B166">
            <v>2021.88</v>
          </cell>
          <cell r="C166">
            <v>2055.1999999999998</v>
          </cell>
          <cell r="D166">
            <v>2021.88</v>
          </cell>
          <cell r="E166">
            <v>2052.5100000000002</v>
          </cell>
          <cell r="F166">
            <v>2052.5100000000002</v>
          </cell>
        </row>
        <row r="167">
          <cell r="A167">
            <v>42300</v>
          </cell>
          <cell r="B167">
            <v>2058.19</v>
          </cell>
          <cell r="C167">
            <v>2079.7399999999998</v>
          </cell>
          <cell r="D167">
            <v>2058.19</v>
          </cell>
          <cell r="E167">
            <v>2075.15</v>
          </cell>
          <cell r="F167">
            <v>2075.15</v>
          </cell>
        </row>
        <row r="168">
          <cell r="A168">
            <v>42303</v>
          </cell>
          <cell r="B168">
            <v>2075.08</v>
          </cell>
          <cell r="C168">
            <v>2075.14</v>
          </cell>
          <cell r="D168">
            <v>2066.5300000000002</v>
          </cell>
          <cell r="E168">
            <v>2071.1799999999998</v>
          </cell>
          <cell r="F168">
            <v>2071.1799999999998</v>
          </cell>
        </row>
        <row r="169">
          <cell r="A169">
            <v>42304</v>
          </cell>
          <cell r="B169">
            <v>2068.75</v>
          </cell>
          <cell r="C169">
            <v>2070.37</v>
          </cell>
          <cell r="D169">
            <v>2058.84</v>
          </cell>
          <cell r="E169">
            <v>2065.89</v>
          </cell>
          <cell r="F169">
            <v>2065.89</v>
          </cell>
        </row>
        <row r="170">
          <cell r="A170">
            <v>42305</v>
          </cell>
          <cell r="B170">
            <v>2066.48</v>
          </cell>
          <cell r="C170">
            <v>2090.35</v>
          </cell>
          <cell r="D170">
            <v>2063.11</v>
          </cell>
          <cell r="E170">
            <v>2090.35</v>
          </cell>
          <cell r="F170">
            <v>2090.35</v>
          </cell>
        </row>
        <row r="171">
          <cell r="A171">
            <v>42306</v>
          </cell>
          <cell r="B171">
            <v>2088.35</v>
          </cell>
          <cell r="C171">
            <v>2092.52</v>
          </cell>
          <cell r="D171">
            <v>2082.63</v>
          </cell>
          <cell r="E171">
            <v>2089.41</v>
          </cell>
          <cell r="F171">
            <v>2089.41</v>
          </cell>
        </row>
        <row r="172">
          <cell r="A172">
            <v>42307</v>
          </cell>
          <cell r="B172">
            <v>2090</v>
          </cell>
          <cell r="C172">
            <v>2094.3200000000002</v>
          </cell>
          <cell r="D172">
            <v>2079.34</v>
          </cell>
          <cell r="E172">
            <v>2079.36</v>
          </cell>
          <cell r="F172">
            <v>2079.36</v>
          </cell>
        </row>
        <row r="173">
          <cell r="A173">
            <v>42310</v>
          </cell>
          <cell r="B173">
            <v>2080.7600000000002</v>
          </cell>
          <cell r="C173">
            <v>2106.1999999999998</v>
          </cell>
          <cell r="D173">
            <v>2080.7600000000002</v>
          </cell>
          <cell r="E173">
            <v>2104.0500000000002</v>
          </cell>
          <cell r="F173">
            <v>2104.0500000000002</v>
          </cell>
        </row>
        <row r="174">
          <cell r="A174">
            <v>42311</v>
          </cell>
          <cell r="B174">
            <v>2102.63</v>
          </cell>
          <cell r="C174">
            <v>2116.48</v>
          </cell>
          <cell r="D174">
            <v>2097.5100000000002</v>
          </cell>
          <cell r="E174">
            <v>2109.79</v>
          </cell>
          <cell r="F174">
            <v>2109.79</v>
          </cell>
        </row>
        <row r="175">
          <cell r="A175">
            <v>42312</v>
          </cell>
          <cell r="B175">
            <v>2110.6</v>
          </cell>
          <cell r="C175">
            <v>2114.59</v>
          </cell>
          <cell r="D175">
            <v>2096.98</v>
          </cell>
          <cell r="E175">
            <v>2102.31</v>
          </cell>
          <cell r="F175">
            <v>2102.31</v>
          </cell>
        </row>
        <row r="176">
          <cell r="A176">
            <v>42313</v>
          </cell>
          <cell r="B176">
            <v>2101.6799999999998</v>
          </cell>
          <cell r="C176">
            <v>2108.7800000000002</v>
          </cell>
          <cell r="D176">
            <v>2090.41</v>
          </cell>
          <cell r="E176">
            <v>2099.9299999999998</v>
          </cell>
          <cell r="F176">
            <v>2099.9299999999998</v>
          </cell>
        </row>
        <row r="177">
          <cell r="A177">
            <v>42314</v>
          </cell>
          <cell r="B177">
            <v>2098.6</v>
          </cell>
          <cell r="C177">
            <v>2101.91</v>
          </cell>
          <cell r="D177">
            <v>2083.7399999999998</v>
          </cell>
          <cell r="E177">
            <v>2099.1999999999998</v>
          </cell>
          <cell r="F177">
            <v>2099.1999999999998</v>
          </cell>
        </row>
        <row r="178">
          <cell r="A178">
            <v>42317</v>
          </cell>
          <cell r="B178">
            <v>2096.56</v>
          </cell>
          <cell r="C178">
            <v>2096.56</v>
          </cell>
          <cell r="D178">
            <v>2068.2399999999998</v>
          </cell>
          <cell r="E178">
            <v>2078.58</v>
          </cell>
          <cell r="F178">
            <v>2078.58</v>
          </cell>
        </row>
        <row r="179">
          <cell r="A179">
            <v>42318</v>
          </cell>
          <cell r="B179">
            <v>2077.19</v>
          </cell>
          <cell r="C179">
            <v>2083.67</v>
          </cell>
          <cell r="D179">
            <v>2069.91</v>
          </cell>
          <cell r="E179">
            <v>2081.7199999999998</v>
          </cell>
          <cell r="F179">
            <v>2081.7199999999998</v>
          </cell>
        </row>
        <row r="180">
          <cell r="A180">
            <v>42319</v>
          </cell>
          <cell r="B180">
            <v>2083.41</v>
          </cell>
          <cell r="C180">
            <v>2086.94</v>
          </cell>
          <cell r="D180">
            <v>2074.85</v>
          </cell>
          <cell r="E180">
            <v>2075</v>
          </cell>
          <cell r="F180">
            <v>2075</v>
          </cell>
        </row>
        <row r="181">
          <cell r="A181">
            <v>42320</v>
          </cell>
          <cell r="B181">
            <v>2072.29</v>
          </cell>
          <cell r="C181">
            <v>2072.29</v>
          </cell>
          <cell r="D181">
            <v>2045.66</v>
          </cell>
          <cell r="E181">
            <v>2045.97</v>
          </cell>
          <cell r="F181">
            <v>2045.97</v>
          </cell>
        </row>
        <row r="182">
          <cell r="A182">
            <v>42321</v>
          </cell>
          <cell r="B182">
            <v>2044.64</v>
          </cell>
          <cell r="C182">
            <v>2044.64</v>
          </cell>
          <cell r="D182">
            <v>2022.02</v>
          </cell>
          <cell r="E182">
            <v>2023.04</v>
          </cell>
          <cell r="F182">
            <v>2023.04</v>
          </cell>
        </row>
        <row r="183">
          <cell r="A183">
            <v>42324</v>
          </cell>
          <cell r="B183">
            <v>2022.08</v>
          </cell>
          <cell r="C183">
            <v>2053.2199999999998</v>
          </cell>
          <cell r="D183">
            <v>2019.39</v>
          </cell>
          <cell r="E183">
            <v>2053.19</v>
          </cell>
          <cell r="F183">
            <v>2053.19</v>
          </cell>
        </row>
        <row r="184">
          <cell r="A184">
            <v>42325</v>
          </cell>
          <cell r="B184">
            <v>2053.67</v>
          </cell>
          <cell r="C184">
            <v>2066.69</v>
          </cell>
          <cell r="D184">
            <v>2045.9</v>
          </cell>
          <cell r="E184">
            <v>2050.44</v>
          </cell>
          <cell r="F184">
            <v>2050.44</v>
          </cell>
        </row>
        <row r="185">
          <cell r="A185">
            <v>42326</v>
          </cell>
          <cell r="B185">
            <v>2051.9899999999998</v>
          </cell>
          <cell r="C185">
            <v>2085.31</v>
          </cell>
          <cell r="D185">
            <v>2051.9899999999998</v>
          </cell>
          <cell r="E185">
            <v>2083.58</v>
          </cell>
          <cell r="F185">
            <v>2083.58</v>
          </cell>
        </row>
        <row r="186">
          <cell r="A186">
            <v>42327</v>
          </cell>
          <cell r="B186">
            <v>2083.6999999999998</v>
          </cell>
          <cell r="C186">
            <v>2086.7399999999998</v>
          </cell>
          <cell r="D186">
            <v>2078.7600000000002</v>
          </cell>
          <cell r="E186">
            <v>2081.2399999999998</v>
          </cell>
          <cell r="F186">
            <v>2081.2399999999998</v>
          </cell>
        </row>
        <row r="187">
          <cell r="A187">
            <v>42328</v>
          </cell>
          <cell r="B187">
            <v>2082.8200000000002</v>
          </cell>
          <cell r="C187">
            <v>2097.06</v>
          </cell>
          <cell r="D187">
            <v>2082.8200000000002</v>
          </cell>
          <cell r="E187">
            <v>2089.17</v>
          </cell>
          <cell r="F187">
            <v>2089.17</v>
          </cell>
        </row>
        <row r="188">
          <cell r="A188">
            <v>42331</v>
          </cell>
          <cell r="B188">
            <v>2089.41</v>
          </cell>
          <cell r="C188">
            <v>2095.61</v>
          </cell>
          <cell r="D188">
            <v>2081.39</v>
          </cell>
          <cell r="E188">
            <v>2086.59</v>
          </cell>
          <cell r="F188">
            <v>2086.59</v>
          </cell>
        </row>
        <row r="189">
          <cell r="A189">
            <v>42332</v>
          </cell>
          <cell r="B189">
            <v>2084.42</v>
          </cell>
          <cell r="C189">
            <v>2094.12</v>
          </cell>
          <cell r="D189">
            <v>2070.29</v>
          </cell>
          <cell r="E189">
            <v>2089.14</v>
          </cell>
          <cell r="F189">
            <v>2089.14</v>
          </cell>
        </row>
        <row r="190">
          <cell r="A190">
            <v>42333</v>
          </cell>
          <cell r="B190">
            <v>2089.3000000000002</v>
          </cell>
          <cell r="C190">
            <v>2093</v>
          </cell>
          <cell r="D190">
            <v>2086.3000000000002</v>
          </cell>
          <cell r="E190">
            <v>2088.87</v>
          </cell>
          <cell r="F190">
            <v>2088.87</v>
          </cell>
        </row>
        <row r="191">
          <cell r="A191">
            <v>42335</v>
          </cell>
          <cell r="B191">
            <v>2088.8200000000002</v>
          </cell>
          <cell r="C191">
            <v>2093.29</v>
          </cell>
          <cell r="D191">
            <v>2084.13</v>
          </cell>
          <cell r="E191">
            <v>2090.11</v>
          </cell>
          <cell r="F191">
            <v>2090.11</v>
          </cell>
        </row>
        <row r="192">
          <cell r="A192">
            <v>42338</v>
          </cell>
          <cell r="B192">
            <v>2090.9499999999998</v>
          </cell>
          <cell r="C192">
            <v>2093.81</v>
          </cell>
          <cell r="D192">
            <v>2080.41</v>
          </cell>
          <cell r="E192">
            <v>2080.41</v>
          </cell>
          <cell r="F192">
            <v>2080.41</v>
          </cell>
        </row>
        <row r="193">
          <cell r="A193">
            <v>42339</v>
          </cell>
          <cell r="B193">
            <v>2082.9299999999998</v>
          </cell>
          <cell r="C193">
            <v>2103.37</v>
          </cell>
          <cell r="D193">
            <v>2082.9299999999998</v>
          </cell>
          <cell r="E193">
            <v>2102.63</v>
          </cell>
          <cell r="F193">
            <v>2102.63</v>
          </cell>
        </row>
        <row r="194">
          <cell r="A194">
            <v>42340</v>
          </cell>
          <cell r="B194">
            <v>2101.71</v>
          </cell>
          <cell r="C194">
            <v>2104.27</v>
          </cell>
          <cell r="D194">
            <v>2077.11</v>
          </cell>
          <cell r="E194">
            <v>2079.5100000000002</v>
          </cell>
          <cell r="F194">
            <v>2079.5100000000002</v>
          </cell>
        </row>
        <row r="195">
          <cell r="A195">
            <v>42341</v>
          </cell>
          <cell r="B195">
            <v>2080.71</v>
          </cell>
          <cell r="C195">
            <v>2085</v>
          </cell>
          <cell r="D195">
            <v>2042.35</v>
          </cell>
          <cell r="E195">
            <v>2049.62</v>
          </cell>
          <cell r="F195">
            <v>2049.62</v>
          </cell>
        </row>
        <row r="196">
          <cell r="A196">
            <v>42342</v>
          </cell>
          <cell r="B196">
            <v>2051.2399999999998</v>
          </cell>
          <cell r="C196">
            <v>2093.84</v>
          </cell>
          <cell r="D196">
            <v>2051.2399999999998</v>
          </cell>
          <cell r="E196">
            <v>2091.69</v>
          </cell>
          <cell r="F196">
            <v>2091.69</v>
          </cell>
        </row>
        <row r="197">
          <cell r="A197">
            <v>42345</v>
          </cell>
          <cell r="B197">
            <v>2090.42</v>
          </cell>
          <cell r="C197">
            <v>2090.42</v>
          </cell>
          <cell r="D197">
            <v>2066.7800000000002</v>
          </cell>
          <cell r="E197">
            <v>2077.0700000000002</v>
          </cell>
          <cell r="F197">
            <v>2077.0700000000002</v>
          </cell>
        </row>
        <row r="198">
          <cell r="A198">
            <v>42346</v>
          </cell>
          <cell r="B198">
            <v>2073.39</v>
          </cell>
          <cell r="C198">
            <v>2073.85</v>
          </cell>
          <cell r="D198">
            <v>2052.3200000000002</v>
          </cell>
          <cell r="E198">
            <v>2063.59</v>
          </cell>
          <cell r="F198">
            <v>2063.59</v>
          </cell>
        </row>
        <row r="199">
          <cell r="A199">
            <v>42347</v>
          </cell>
          <cell r="B199">
            <v>2061.17</v>
          </cell>
          <cell r="C199">
            <v>2080.33</v>
          </cell>
          <cell r="D199">
            <v>2036.53</v>
          </cell>
          <cell r="E199">
            <v>2047.62</v>
          </cell>
          <cell r="F199">
            <v>2047.62</v>
          </cell>
        </row>
        <row r="200">
          <cell r="A200">
            <v>42348</v>
          </cell>
          <cell r="B200">
            <v>2047.93</v>
          </cell>
          <cell r="C200">
            <v>2067.65</v>
          </cell>
          <cell r="D200">
            <v>2045.67</v>
          </cell>
          <cell r="E200">
            <v>2052.23</v>
          </cell>
          <cell r="F200">
            <v>2052.23</v>
          </cell>
        </row>
        <row r="201">
          <cell r="A201">
            <v>42349</v>
          </cell>
          <cell r="B201">
            <v>2047.27</v>
          </cell>
          <cell r="C201">
            <v>2047.27</v>
          </cell>
          <cell r="D201">
            <v>2008.8</v>
          </cell>
          <cell r="E201">
            <v>2012.37</v>
          </cell>
          <cell r="F201">
            <v>2012.37</v>
          </cell>
        </row>
        <row r="202">
          <cell r="A202">
            <v>42352</v>
          </cell>
          <cell r="B202">
            <v>2013.37</v>
          </cell>
          <cell r="C202">
            <v>2022.92</v>
          </cell>
          <cell r="D202">
            <v>1993.26</v>
          </cell>
          <cell r="E202">
            <v>2021.94</v>
          </cell>
          <cell r="F202">
            <v>2021.94</v>
          </cell>
        </row>
        <row r="203">
          <cell r="A203">
            <v>42353</v>
          </cell>
          <cell r="B203">
            <v>2025.55</v>
          </cell>
          <cell r="C203">
            <v>2053.87</v>
          </cell>
          <cell r="D203">
            <v>2025.55</v>
          </cell>
          <cell r="E203">
            <v>2043.41</v>
          </cell>
          <cell r="F203">
            <v>2043.41</v>
          </cell>
        </row>
        <row r="204">
          <cell r="A204">
            <v>42354</v>
          </cell>
          <cell r="B204">
            <v>2046.5</v>
          </cell>
          <cell r="C204">
            <v>2076.7199999999998</v>
          </cell>
          <cell r="D204">
            <v>2042.43</v>
          </cell>
          <cell r="E204">
            <v>2073.0700000000002</v>
          </cell>
          <cell r="F204">
            <v>2073.0700000000002</v>
          </cell>
        </row>
        <row r="205">
          <cell r="A205">
            <v>42355</v>
          </cell>
          <cell r="B205">
            <v>2073.7600000000002</v>
          </cell>
          <cell r="C205">
            <v>2076.37</v>
          </cell>
          <cell r="D205">
            <v>2041.66</v>
          </cell>
          <cell r="E205">
            <v>2041.89</v>
          </cell>
          <cell r="F205">
            <v>2041.89</v>
          </cell>
        </row>
        <row r="206">
          <cell r="A206">
            <v>42356</v>
          </cell>
          <cell r="B206">
            <v>2040.81</v>
          </cell>
          <cell r="C206">
            <v>2040.81</v>
          </cell>
          <cell r="D206">
            <v>2005.33</v>
          </cell>
          <cell r="E206">
            <v>2005.55</v>
          </cell>
          <cell r="F206">
            <v>2005.55</v>
          </cell>
        </row>
        <row r="207">
          <cell r="A207">
            <v>42359</v>
          </cell>
          <cell r="B207">
            <v>2010.27</v>
          </cell>
          <cell r="C207">
            <v>2022.9</v>
          </cell>
          <cell r="D207">
            <v>2005.93</v>
          </cell>
          <cell r="E207">
            <v>2021.15</v>
          </cell>
          <cell r="F207">
            <v>2021.15</v>
          </cell>
        </row>
        <row r="208">
          <cell r="A208">
            <v>42360</v>
          </cell>
          <cell r="B208">
            <v>2023.15</v>
          </cell>
          <cell r="C208">
            <v>2042.74</v>
          </cell>
          <cell r="D208">
            <v>2020.49</v>
          </cell>
          <cell r="E208">
            <v>2038.97</v>
          </cell>
          <cell r="F208">
            <v>2038.97</v>
          </cell>
        </row>
        <row r="209">
          <cell r="A209">
            <v>42361</v>
          </cell>
          <cell r="B209">
            <v>2042.2</v>
          </cell>
          <cell r="C209">
            <v>2064.73</v>
          </cell>
          <cell r="D209">
            <v>2042.2</v>
          </cell>
          <cell r="E209">
            <v>2064.29</v>
          </cell>
          <cell r="F209">
            <v>2064.29</v>
          </cell>
        </row>
        <row r="210">
          <cell r="A210">
            <v>42362</v>
          </cell>
          <cell r="B210">
            <v>2063.52</v>
          </cell>
          <cell r="C210">
            <v>2067.36</v>
          </cell>
          <cell r="D210">
            <v>2058.73</v>
          </cell>
          <cell r="E210">
            <v>2060.9899999999998</v>
          </cell>
          <cell r="F210">
            <v>2060.9899999999998</v>
          </cell>
        </row>
        <row r="211">
          <cell r="A211">
            <v>42366</v>
          </cell>
          <cell r="B211">
            <v>2057.77</v>
          </cell>
          <cell r="C211">
            <v>2057.77</v>
          </cell>
          <cell r="D211">
            <v>2044.2</v>
          </cell>
          <cell r="E211">
            <v>2056.5</v>
          </cell>
          <cell r="F211">
            <v>2056.5</v>
          </cell>
        </row>
        <row r="212">
          <cell r="A212">
            <v>42367</v>
          </cell>
          <cell r="B212">
            <v>2060.54</v>
          </cell>
          <cell r="C212">
            <v>2081.56</v>
          </cell>
          <cell r="D212">
            <v>2060.54</v>
          </cell>
          <cell r="E212">
            <v>2078.36</v>
          </cell>
          <cell r="F212">
            <v>2078.36</v>
          </cell>
        </row>
        <row r="213">
          <cell r="A213">
            <v>42368</v>
          </cell>
          <cell r="B213">
            <v>2077.34</v>
          </cell>
          <cell r="C213">
            <v>2077.34</v>
          </cell>
          <cell r="D213">
            <v>2061.9699999999998</v>
          </cell>
          <cell r="E213">
            <v>2063.36</v>
          </cell>
          <cell r="F213">
            <v>2063.36</v>
          </cell>
        </row>
        <row r="214">
          <cell r="A214">
            <v>42369</v>
          </cell>
          <cell r="B214">
            <v>2060.59</v>
          </cell>
          <cell r="C214">
            <v>2062.54</v>
          </cell>
          <cell r="D214">
            <v>2043.62</v>
          </cell>
          <cell r="E214">
            <v>2043.94</v>
          </cell>
          <cell r="F214">
            <v>2043.94</v>
          </cell>
        </row>
        <row r="215">
          <cell r="A215">
            <v>42373</v>
          </cell>
          <cell r="B215">
            <v>2038.2</v>
          </cell>
          <cell r="C215">
            <v>2038.2</v>
          </cell>
          <cell r="D215">
            <v>1989.68</v>
          </cell>
          <cell r="E215">
            <v>2012.66</v>
          </cell>
          <cell r="F215">
            <v>2012.66</v>
          </cell>
        </row>
        <row r="216">
          <cell r="A216">
            <v>42374</v>
          </cell>
          <cell r="B216">
            <v>2013.78</v>
          </cell>
          <cell r="C216">
            <v>2021.94</v>
          </cell>
          <cell r="D216">
            <v>2004.17</v>
          </cell>
          <cell r="E216">
            <v>2016.71</v>
          </cell>
          <cell r="F216">
            <v>2016.71</v>
          </cell>
        </row>
        <row r="217">
          <cell r="A217">
            <v>42375</v>
          </cell>
          <cell r="B217">
            <v>2011.71</v>
          </cell>
          <cell r="C217">
            <v>2011.71</v>
          </cell>
          <cell r="D217">
            <v>1979.05</v>
          </cell>
          <cell r="E217">
            <v>1990.26</v>
          </cell>
          <cell r="F217">
            <v>1990.26</v>
          </cell>
        </row>
        <row r="218">
          <cell r="A218">
            <v>42376</v>
          </cell>
          <cell r="B218">
            <v>1985.32</v>
          </cell>
          <cell r="C218">
            <v>1985.32</v>
          </cell>
          <cell r="D218">
            <v>1938.83</v>
          </cell>
          <cell r="E218">
            <v>1943.09</v>
          </cell>
          <cell r="F218">
            <v>1943.09</v>
          </cell>
        </row>
        <row r="219">
          <cell r="A219">
            <v>42377</v>
          </cell>
          <cell r="B219">
            <v>1945.97</v>
          </cell>
          <cell r="C219">
            <v>1960.4</v>
          </cell>
          <cell r="D219">
            <v>1918.46</v>
          </cell>
          <cell r="E219">
            <v>1922.03</v>
          </cell>
          <cell r="F219">
            <v>1922.03</v>
          </cell>
        </row>
        <row r="220">
          <cell r="A220">
            <v>42380</v>
          </cell>
          <cell r="B220">
            <v>1926.12</v>
          </cell>
          <cell r="C220">
            <v>1935.65</v>
          </cell>
          <cell r="D220">
            <v>1901.1</v>
          </cell>
          <cell r="E220">
            <v>1923.67</v>
          </cell>
          <cell r="F220">
            <v>1923.67</v>
          </cell>
        </row>
        <row r="221">
          <cell r="A221">
            <v>42381</v>
          </cell>
          <cell r="B221">
            <v>1927.83</v>
          </cell>
          <cell r="C221">
            <v>1947.38</v>
          </cell>
          <cell r="D221">
            <v>1914.35</v>
          </cell>
          <cell r="E221">
            <v>1938.68</v>
          </cell>
          <cell r="F221">
            <v>1938.68</v>
          </cell>
        </row>
        <row r="222">
          <cell r="A222">
            <v>42382</v>
          </cell>
          <cell r="B222">
            <v>1940.34</v>
          </cell>
          <cell r="C222">
            <v>1950.33</v>
          </cell>
          <cell r="D222">
            <v>1886.41</v>
          </cell>
          <cell r="E222">
            <v>1890.28</v>
          </cell>
          <cell r="F222">
            <v>1890.28</v>
          </cell>
        </row>
        <row r="223">
          <cell r="A223">
            <v>42383</v>
          </cell>
          <cell r="B223">
            <v>1891.68</v>
          </cell>
          <cell r="C223">
            <v>1934.47</v>
          </cell>
          <cell r="D223">
            <v>1878.93</v>
          </cell>
          <cell r="E223">
            <v>1921.84</v>
          </cell>
          <cell r="F223">
            <v>1921.84</v>
          </cell>
        </row>
        <row r="224">
          <cell r="A224">
            <v>42384</v>
          </cell>
          <cell r="B224">
            <v>1916.68</v>
          </cell>
          <cell r="C224">
            <v>1916.68</v>
          </cell>
          <cell r="D224">
            <v>1857.83</v>
          </cell>
          <cell r="E224">
            <v>1880.33</v>
          </cell>
          <cell r="F224">
            <v>1880.33</v>
          </cell>
        </row>
        <row r="225">
          <cell r="A225">
            <v>42388</v>
          </cell>
          <cell r="B225">
            <v>1888.66</v>
          </cell>
          <cell r="C225">
            <v>1901.44</v>
          </cell>
          <cell r="D225">
            <v>1864.6</v>
          </cell>
          <cell r="E225">
            <v>1881.33</v>
          </cell>
          <cell r="F225">
            <v>1881.33</v>
          </cell>
        </row>
        <row r="226">
          <cell r="A226">
            <v>42389</v>
          </cell>
          <cell r="B226">
            <v>1876.18</v>
          </cell>
          <cell r="C226">
            <v>1876.18</v>
          </cell>
          <cell r="D226">
            <v>1812.29</v>
          </cell>
          <cell r="E226">
            <v>1859.33</v>
          </cell>
          <cell r="F226">
            <v>1859.33</v>
          </cell>
        </row>
        <row r="227">
          <cell r="A227">
            <v>42390</v>
          </cell>
          <cell r="B227">
            <v>1861.46</v>
          </cell>
          <cell r="C227">
            <v>1889.85</v>
          </cell>
          <cell r="D227">
            <v>1848.98</v>
          </cell>
          <cell r="E227">
            <v>1868.99</v>
          </cell>
          <cell r="F227">
            <v>1868.99</v>
          </cell>
        </row>
        <row r="228">
          <cell r="A228">
            <v>42391</v>
          </cell>
          <cell r="B228">
            <v>1877.4</v>
          </cell>
          <cell r="C228">
            <v>1908.85</v>
          </cell>
          <cell r="D228">
            <v>1877.4</v>
          </cell>
          <cell r="E228">
            <v>1906.9</v>
          </cell>
          <cell r="F228">
            <v>1906.9</v>
          </cell>
        </row>
        <row r="229">
          <cell r="A229">
            <v>42394</v>
          </cell>
          <cell r="B229">
            <v>1906.28</v>
          </cell>
          <cell r="C229">
            <v>1906.28</v>
          </cell>
          <cell r="D229">
            <v>1875.97</v>
          </cell>
          <cell r="E229">
            <v>1877.08</v>
          </cell>
          <cell r="F229">
            <v>1877.08</v>
          </cell>
        </row>
        <row r="230">
          <cell r="A230">
            <v>42395</v>
          </cell>
          <cell r="B230">
            <v>1878.79</v>
          </cell>
          <cell r="C230">
            <v>1906.73</v>
          </cell>
          <cell r="D230">
            <v>1878.79</v>
          </cell>
          <cell r="E230">
            <v>1903.63</v>
          </cell>
          <cell r="F230">
            <v>1903.63</v>
          </cell>
        </row>
        <row r="231">
          <cell r="A231">
            <v>42396</v>
          </cell>
          <cell r="B231">
            <v>1902.52</v>
          </cell>
          <cell r="C231">
            <v>1916.99</v>
          </cell>
          <cell r="D231">
            <v>1872.7</v>
          </cell>
          <cell r="E231">
            <v>1882.95</v>
          </cell>
          <cell r="F231">
            <v>1882.95</v>
          </cell>
        </row>
        <row r="232">
          <cell r="A232">
            <v>42397</v>
          </cell>
          <cell r="B232">
            <v>1885.22</v>
          </cell>
          <cell r="C232">
            <v>1902.96</v>
          </cell>
          <cell r="D232">
            <v>1873.65</v>
          </cell>
          <cell r="E232">
            <v>1893.36</v>
          </cell>
          <cell r="F232">
            <v>1893.36</v>
          </cell>
        </row>
        <row r="233">
          <cell r="A233">
            <v>42398</v>
          </cell>
          <cell r="B233">
            <v>1894</v>
          </cell>
          <cell r="C233">
            <v>1940.24</v>
          </cell>
          <cell r="D233">
            <v>1894</v>
          </cell>
          <cell r="E233">
            <v>1940.24</v>
          </cell>
          <cell r="F233">
            <v>1940.24</v>
          </cell>
        </row>
        <row r="234">
          <cell r="A234">
            <v>42401</v>
          </cell>
          <cell r="B234">
            <v>1936.94</v>
          </cell>
          <cell r="C234">
            <v>1947.2</v>
          </cell>
          <cell r="D234">
            <v>1920.3</v>
          </cell>
          <cell r="E234">
            <v>1939.38</v>
          </cell>
          <cell r="F234">
            <v>1939.38</v>
          </cell>
        </row>
        <row r="235">
          <cell r="A235">
            <v>42402</v>
          </cell>
          <cell r="B235">
            <v>1935.26</v>
          </cell>
          <cell r="C235">
            <v>1935.26</v>
          </cell>
          <cell r="D235">
            <v>1897.29</v>
          </cell>
          <cell r="E235">
            <v>1903.03</v>
          </cell>
          <cell r="F235">
            <v>1903.03</v>
          </cell>
        </row>
        <row r="236">
          <cell r="A236">
            <v>42403</v>
          </cell>
          <cell r="B236">
            <v>1907.07</v>
          </cell>
          <cell r="C236">
            <v>1918.01</v>
          </cell>
          <cell r="D236">
            <v>1872.23</v>
          </cell>
          <cell r="E236">
            <v>1912.53</v>
          </cell>
          <cell r="F236">
            <v>1912.53</v>
          </cell>
        </row>
        <row r="237">
          <cell r="A237">
            <v>42404</v>
          </cell>
          <cell r="B237">
            <v>1911.67</v>
          </cell>
          <cell r="C237">
            <v>1927.35</v>
          </cell>
          <cell r="D237">
            <v>1900.52</v>
          </cell>
          <cell r="E237">
            <v>1915.45</v>
          </cell>
          <cell r="F237">
            <v>1915.45</v>
          </cell>
        </row>
        <row r="238">
          <cell r="A238">
            <v>42405</v>
          </cell>
          <cell r="B238">
            <v>1913.07</v>
          </cell>
          <cell r="C238">
            <v>1913.07</v>
          </cell>
          <cell r="D238">
            <v>1872.65</v>
          </cell>
          <cell r="E238">
            <v>1880.05</v>
          </cell>
          <cell r="F238">
            <v>1880.05</v>
          </cell>
        </row>
        <row r="239">
          <cell r="A239">
            <v>42408</v>
          </cell>
          <cell r="B239">
            <v>1873.25</v>
          </cell>
          <cell r="C239">
            <v>1873.25</v>
          </cell>
          <cell r="D239">
            <v>1828.46</v>
          </cell>
          <cell r="E239">
            <v>1853.44</v>
          </cell>
          <cell r="F239">
            <v>1853.44</v>
          </cell>
        </row>
        <row r="240">
          <cell r="A240">
            <v>42409</v>
          </cell>
          <cell r="B240">
            <v>1848.46</v>
          </cell>
          <cell r="C240">
            <v>1868.25</v>
          </cell>
          <cell r="D240">
            <v>1834.94</v>
          </cell>
          <cell r="E240">
            <v>1852.21</v>
          </cell>
          <cell r="F240">
            <v>1852.21</v>
          </cell>
        </row>
        <row r="241">
          <cell r="A241">
            <v>42410</v>
          </cell>
          <cell r="B241">
            <v>1857.1</v>
          </cell>
          <cell r="C241">
            <v>1881.6</v>
          </cell>
          <cell r="D241">
            <v>1850.32</v>
          </cell>
          <cell r="E241">
            <v>1851.86</v>
          </cell>
          <cell r="F241">
            <v>1851.86</v>
          </cell>
        </row>
        <row r="242">
          <cell r="A242">
            <v>42411</v>
          </cell>
          <cell r="B242">
            <v>1847</v>
          </cell>
          <cell r="C242">
            <v>1847</v>
          </cell>
          <cell r="D242">
            <v>1810.1</v>
          </cell>
          <cell r="E242">
            <v>1829.08</v>
          </cell>
          <cell r="F242">
            <v>1829.08</v>
          </cell>
        </row>
        <row r="243">
          <cell r="A243">
            <v>42412</v>
          </cell>
          <cell r="B243">
            <v>1833.4</v>
          </cell>
          <cell r="C243">
            <v>1864.78</v>
          </cell>
          <cell r="D243">
            <v>1833.4</v>
          </cell>
          <cell r="E243">
            <v>1864.78</v>
          </cell>
          <cell r="F243">
            <v>1864.78</v>
          </cell>
        </row>
        <row r="244">
          <cell r="A244">
            <v>42416</v>
          </cell>
          <cell r="B244">
            <v>1871.44</v>
          </cell>
          <cell r="C244">
            <v>1895.77</v>
          </cell>
          <cell r="D244">
            <v>1871.44</v>
          </cell>
          <cell r="E244">
            <v>1895.58</v>
          </cell>
          <cell r="F244">
            <v>1895.58</v>
          </cell>
        </row>
        <row r="245">
          <cell r="A245">
            <v>42417</v>
          </cell>
          <cell r="B245">
            <v>1898.8</v>
          </cell>
          <cell r="C245">
            <v>1930.68</v>
          </cell>
          <cell r="D245">
            <v>1898.8</v>
          </cell>
          <cell r="E245">
            <v>1926.82</v>
          </cell>
          <cell r="F245">
            <v>1926.82</v>
          </cell>
        </row>
        <row r="246">
          <cell r="A246">
            <v>42418</v>
          </cell>
          <cell r="B246">
            <v>1927.57</v>
          </cell>
          <cell r="C246">
            <v>1930</v>
          </cell>
          <cell r="D246">
            <v>1915.09</v>
          </cell>
          <cell r="E246">
            <v>1917.83</v>
          </cell>
          <cell r="F246">
            <v>1917.83</v>
          </cell>
        </row>
        <row r="247">
          <cell r="A247">
            <v>42419</v>
          </cell>
          <cell r="B247">
            <v>1916.74</v>
          </cell>
          <cell r="C247">
            <v>1918.78</v>
          </cell>
          <cell r="D247">
            <v>1902.17</v>
          </cell>
          <cell r="E247">
            <v>1917.78</v>
          </cell>
          <cell r="F247">
            <v>1917.78</v>
          </cell>
        </row>
        <row r="248">
          <cell r="A248">
            <v>42422</v>
          </cell>
          <cell r="B248">
            <v>1924.44</v>
          </cell>
          <cell r="C248">
            <v>1946.7</v>
          </cell>
          <cell r="D248">
            <v>1924.44</v>
          </cell>
          <cell r="E248">
            <v>1945.5</v>
          </cell>
          <cell r="F248">
            <v>1945.5</v>
          </cell>
        </row>
        <row r="249">
          <cell r="A249">
            <v>42423</v>
          </cell>
          <cell r="B249">
            <v>1942.38</v>
          </cell>
          <cell r="C249">
            <v>1942.38</v>
          </cell>
          <cell r="D249">
            <v>1919.44</v>
          </cell>
          <cell r="E249">
            <v>1921.27</v>
          </cell>
          <cell r="F249">
            <v>1921.27</v>
          </cell>
        </row>
        <row r="250">
          <cell r="A250">
            <v>42424</v>
          </cell>
          <cell r="B250">
            <v>1917.56</v>
          </cell>
          <cell r="C250">
            <v>1932.08</v>
          </cell>
          <cell r="D250">
            <v>1891</v>
          </cell>
          <cell r="E250">
            <v>1929.8</v>
          </cell>
          <cell r="F250">
            <v>1929.8</v>
          </cell>
        </row>
        <row r="251">
          <cell r="A251">
            <v>42425</v>
          </cell>
          <cell r="B251">
            <v>1931.87</v>
          </cell>
          <cell r="C251">
            <v>1951.83</v>
          </cell>
          <cell r="D251">
            <v>1925.41</v>
          </cell>
          <cell r="E251">
            <v>1951.7</v>
          </cell>
          <cell r="F251">
            <v>1951.7</v>
          </cell>
        </row>
        <row r="252">
          <cell r="A252">
            <v>42426</v>
          </cell>
          <cell r="B252">
            <v>1954.95</v>
          </cell>
          <cell r="C252">
            <v>1962.96</v>
          </cell>
          <cell r="D252">
            <v>1945.78</v>
          </cell>
          <cell r="E252">
            <v>1948.05</v>
          </cell>
          <cell r="F252">
            <v>1948.05</v>
          </cell>
        </row>
        <row r="253">
          <cell r="A253">
            <v>42429</v>
          </cell>
          <cell r="B253">
            <v>1947.13</v>
          </cell>
          <cell r="C253">
            <v>1958.27</v>
          </cell>
          <cell r="D253">
            <v>1931.81</v>
          </cell>
          <cell r="E253">
            <v>1932.23</v>
          </cell>
          <cell r="F253">
            <v>1932.23</v>
          </cell>
        </row>
        <row r="254">
          <cell r="A254">
            <v>42430</v>
          </cell>
          <cell r="B254">
            <v>1937.09</v>
          </cell>
          <cell r="C254">
            <v>1978.35</v>
          </cell>
          <cell r="D254">
            <v>1937.09</v>
          </cell>
          <cell r="E254">
            <v>1978.35</v>
          </cell>
          <cell r="F254">
            <v>1978.35</v>
          </cell>
        </row>
        <row r="255">
          <cell r="A255">
            <v>42431</v>
          </cell>
          <cell r="B255">
            <v>1976.6</v>
          </cell>
          <cell r="C255">
            <v>1986.51</v>
          </cell>
          <cell r="D255">
            <v>1968.8</v>
          </cell>
          <cell r="E255">
            <v>1986.45</v>
          </cell>
          <cell r="F255">
            <v>1986.45</v>
          </cell>
        </row>
        <row r="256">
          <cell r="A256">
            <v>42432</v>
          </cell>
          <cell r="B256">
            <v>1985.6</v>
          </cell>
          <cell r="C256">
            <v>1993.69</v>
          </cell>
          <cell r="D256">
            <v>1977.37</v>
          </cell>
          <cell r="E256">
            <v>1993.4</v>
          </cell>
          <cell r="F256">
            <v>1993.4</v>
          </cell>
        </row>
        <row r="257">
          <cell r="A257">
            <v>42433</v>
          </cell>
          <cell r="B257">
            <v>1994.01</v>
          </cell>
          <cell r="C257">
            <v>2009.13</v>
          </cell>
          <cell r="D257">
            <v>1986.77</v>
          </cell>
          <cell r="E257">
            <v>1999.99</v>
          </cell>
          <cell r="F257">
            <v>1999.99</v>
          </cell>
        </row>
        <row r="258">
          <cell r="A258">
            <v>42436</v>
          </cell>
          <cell r="B258">
            <v>1996.11</v>
          </cell>
          <cell r="C258">
            <v>2006.12</v>
          </cell>
          <cell r="D258">
            <v>1989.38</v>
          </cell>
          <cell r="E258">
            <v>2001.76</v>
          </cell>
          <cell r="F258">
            <v>2001.76</v>
          </cell>
        </row>
        <row r="259">
          <cell r="A259">
            <v>42437</v>
          </cell>
          <cell r="B259">
            <v>1996.88</v>
          </cell>
          <cell r="C259">
            <v>1996.88</v>
          </cell>
          <cell r="D259">
            <v>1977.43</v>
          </cell>
          <cell r="E259">
            <v>1979.26</v>
          </cell>
          <cell r="F259">
            <v>1979.26</v>
          </cell>
        </row>
        <row r="260">
          <cell r="A260">
            <v>42438</v>
          </cell>
          <cell r="B260">
            <v>1981.44</v>
          </cell>
          <cell r="C260">
            <v>1992.69</v>
          </cell>
          <cell r="D260">
            <v>1979.84</v>
          </cell>
          <cell r="E260">
            <v>1989.26</v>
          </cell>
          <cell r="F260">
            <v>1989.26</v>
          </cell>
        </row>
        <row r="261">
          <cell r="A261">
            <v>42439</v>
          </cell>
          <cell r="B261">
            <v>1990.97</v>
          </cell>
          <cell r="C261">
            <v>2005.08</v>
          </cell>
          <cell r="D261">
            <v>1969.25</v>
          </cell>
          <cell r="E261">
            <v>1989.57</v>
          </cell>
          <cell r="F261">
            <v>1989.57</v>
          </cell>
        </row>
        <row r="262">
          <cell r="A262">
            <v>42440</v>
          </cell>
          <cell r="B262">
            <v>1994.71</v>
          </cell>
          <cell r="C262">
            <v>2022.37</v>
          </cell>
          <cell r="D262">
            <v>1994.71</v>
          </cell>
          <cell r="E262">
            <v>2022.19</v>
          </cell>
          <cell r="F262">
            <v>2022.19</v>
          </cell>
        </row>
        <row r="263">
          <cell r="A263">
            <v>42443</v>
          </cell>
          <cell r="B263">
            <v>2019.27</v>
          </cell>
          <cell r="C263">
            <v>2024.57</v>
          </cell>
          <cell r="D263">
            <v>2012.05</v>
          </cell>
          <cell r="E263">
            <v>2019.64</v>
          </cell>
          <cell r="F263">
            <v>2019.64</v>
          </cell>
        </row>
        <row r="264">
          <cell r="A264">
            <v>42444</v>
          </cell>
          <cell r="B264">
            <v>2015.27</v>
          </cell>
          <cell r="C264">
            <v>2015.94</v>
          </cell>
          <cell r="D264">
            <v>2005.23</v>
          </cell>
          <cell r="E264">
            <v>2015.93</v>
          </cell>
          <cell r="F264">
            <v>2015.93</v>
          </cell>
        </row>
        <row r="265">
          <cell r="A265">
            <v>42445</v>
          </cell>
          <cell r="B265">
            <v>2014.24</v>
          </cell>
          <cell r="C265">
            <v>2032.02</v>
          </cell>
          <cell r="D265">
            <v>2010.04</v>
          </cell>
          <cell r="E265">
            <v>2027.22</v>
          </cell>
          <cell r="F265">
            <v>2027.22</v>
          </cell>
        </row>
        <row r="266">
          <cell r="A266">
            <v>42446</v>
          </cell>
          <cell r="B266">
            <v>2026.9</v>
          </cell>
          <cell r="C266">
            <v>2046.24</v>
          </cell>
          <cell r="D266">
            <v>2022.16</v>
          </cell>
          <cell r="E266">
            <v>2040.59</v>
          </cell>
          <cell r="F266">
            <v>2040.59</v>
          </cell>
        </row>
        <row r="267">
          <cell r="A267">
            <v>42447</v>
          </cell>
          <cell r="B267">
            <v>2041.16</v>
          </cell>
          <cell r="C267">
            <v>2052.36</v>
          </cell>
          <cell r="D267">
            <v>2041.16</v>
          </cell>
          <cell r="E267">
            <v>2049.58</v>
          </cell>
          <cell r="F267">
            <v>2049.58</v>
          </cell>
        </row>
        <row r="268">
          <cell r="A268">
            <v>42450</v>
          </cell>
          <cell r="B268">
            <v>2047.88</v>
          </cell>
          <cell r="C268">
            <v>2053.91</v>
          </cell>
          <cell r="D268">
            <v>2043.14</v>
          </cell>
          <cell r="E268">
            <v>2051.6</v>
          </cell>
          <cell r="F268">
            <v>2051.6</v>
          </cell>
        </row>
        <row r="269">
          <cell r="A269">
            <v>42451</v>
          </cell>
          <cell r="B269">
            <v>2048.64</v>
          </cell>
          <cell r="C269">
            <v>2056.6</v>
          </cell>
          <cell r="D269">
            <v>2040.57</v>
          </cell>
          <cell r="E269">
            <v>2049.8000000000002</v>
          </cell>
          <cell r="F269">
            <v>2049.8000000000002</v>
          </cell>
        </row>
        <row r="270">
          <cell r="A270">
            <v>42452</v>
          </cell>
          <cell r="B270">
            <v>2048.5500000000002</v>
          </cell>
          <cell r="C270">
            <v>2048.5500000000002</v>
          </cell>
          <cell r="D270">
            <v>2034.86</v>
          </cell>
          <cell r="E270">
            <v>2036.71</v>
          </cell>
          <cell r="F270">
            <v>2036.71</v>
          </cell>
        </row>
        <row r="271">
          <cell r="A271">
            <v>42453</v>
          </cell>
          <cell r="B271">
            <v>2032.48</v>
          </cell>
          <cell r="C271">
            <v>2036.04</v>
          </cell>
          <cell r="D271">
            <v>2022.49</v>
          </cell>
          <cell r="E271">
            <v>2035.94</v>
          </cell>
          <cell r="F271">
            <v>2035.94</v>
          </cell>
        </row>
        <row r="272">
          <cell r="A272">
            <v>42457</v>
          </cell>
          <cell r="B272">
            <v>2037.89</v>
          </cell>
          <cell r="C272">
            <v>2042.67</v>
          </cell>
          <cell r="D272">
            <v>2031.96</v>
          </cell>
          <cell r="E272">
            <v>2037.05</v>
          </cell>
          <cell r="F272">
            <v>2037.05</v>
          </cell>
        </row>
        <row r="273">
          <cell r="A273">
            <v>42458</v>
          </cell>
          <cell r="B273">
            <v>2035.75</v>
          </cell>
          <cell r="C273">
            <v>2055.91</v>
          </cell>
          <cell r="D273">
            <v>2028.31</v>
          </cell>
          <cell r="E273">
            <v>2055.0100000000002</v>
          </cell>
          <cell r="F273">
            <v>2055.0100000000002</v>
          </cell>
        </row>
        <row r="274">
          <cell r="A274">
            <v>42459</v>
          </cell>
          <cell r="B274">
            <v>2058.27</v>
          </cell>
          <cell r="C274">
            <v>2072.21</v>
          </cell>
          <cell r="D274">
            <v>2058.27</v>
          </cell>
          <cell r="E274">
            <v>2063.9499999999998</v>
          </cell>
          <cell r="F274">
            <v>2063.9499999999998</v>
          </cell>
        </row>
        <row r="275">
          <cell r="A275">
            <v>42460</v>
          </cell>
          <cell r="B275">
            <v>2063.77</v>
          </cell>
          <cell r="C275">
            <v>2067.92</v>
          </cell>
          <cell r="D275">
            <v>2057.46</v>
          </cell>
          <cell r="E275">
            <v>2059.7399999999998</v>
          </cell>
          <cell r="F275">
            <v>2059.7399999999998</v>
          </cell>
        </row>
        <row r="276">
          <cell r="A276">
            <v>42461</v>
          </cell>
          <cell r="B276">
            <v>2056.62</v>
          </cell>
          <cell r="C276">
            <v>2075.0700000000002</v>
          </cell>
          <cell r="D276">
            <v>2043.98</v>
          </cell>
          <cell r="E276">
            <v>2072.7800000000002</v>
          </cell>
          <cell r="F276">
            <v>2072.7800000000002</v>
          </cell>
        </row>
        <row r="277">
          <cell r="A277">
            <v>42464</v>
          </cell>
          <cell r="B277">
            <v>2073.19</v>
          </cell>
          <cell r="C277">
            <v>2074.02</v>
          </cell>
          <cell r="D277">
            <v>2062.5700000000002</v>
          </cell>
          <cell r="E277">
            <v>2066.13</v>
          </cell>
          <cell r="F277">
            <v>2066.13</v>
          </cell>
        </row>
        <row r="278">
          <cell r="A278">
            <v>42465</v>
          </cell>
          <cell r="B278">
            <v>2062.5</v>
          </cell>
          <cell r="C278">
            <v>2062.5</v>
          </cell>
          <cell r="D278">
            <v>2042.56</v>
          </cell>
          <cell r="E278">
            <v>2045.17</v>
          </cell>
          <cell r="F278">
            <v>2045.17</v>
          </cell>
        </row>
        <row r="279">
          <cell r="A279">
            <v>42466</v>
          </cell>
          <cell r="B279">
            <v>2045.56</v>
          </cell>
          <cell r="C279">
            <v>2067.33</v>
          </cell>
          <cell r="D279">
            <v>2043.09</v>
          </cell>
          <cell r="E279">
            <v>2066.66</v>
          </cell>
          <cell r="F279">
            <v>2066.66</v>
          </cell>
        </row>
        <row r="280">
          <cell r="A280">
            <v>42467</v>
          </cell>
          <cell r="B280">
            <v>2063.0100000000002</v>
          </cell>
          <cell r="C280">
            <v>2063.0100000000002</v>
          </cell>
          <cell r="D280">
            <v>2033.8</v>
          </cell>
          <cell r="E280">
            <v>2041.91</v>
          </cell>
          <cell r="F280">
            <v>2041.91</v>
          </cell>
        </row>
        <row r="281">
          <cell r="A281">
            <v>42468</v>
          </cell>
          <cell r="B281">
            <v>2045.54</v>
          </cell>
          <cell r="C281">
            <v>2060.63</v>
          </cell>
          <cell r="D281">
            <v>2041.69</v>
          </cell>
          <cell r="E281">
            <v>2047.6</v>
          </cell>
          <cell r="F281">
            <v>2047.6</v>
          </cell>
        </row>
        <row r="282">
          <cell r="A282">
            <v>42471</v>
          </cell>
          <cell r="B282">
            <v>2050.23</v>
          </cell>
          <cell r="C282">
            <v>2062.9299999999998</v>
          </cell>
          <cell r="D282">
            <v>2041.88</v>
          </cell>
          <cell r="E282">
            <v>2041.99</v>
          </cell>
          <cell r="F282">
            <v>2041.99</v>
          </cell>
        </row>
        <row r="283">
          <cell r="A283">
            <v>42472</v>
          </cell>
          <cell r="B283">
            <v>2043.72</v>
          </cell>
          <cell r="C283">
            <v>2065.0500000000002</v>
          </cell>
          <cell r="D283">
            <v>2039.74</v>
          </cell>
          <cell r="E283">
            <v>2061.7199999999998</v>
          </cell>
          <cell r="F283">
            <v>2061.7199999999998</v>
          </cell>
        </row>
        <row r="284">
          <cell r="A284">
            <v>42473</v>
          </cell>
          <cell r="B284">
            <v>2065.92</v>
          </cell>
          <cell r="C284">
            <v>2083.1799999999998</v>
          </cell>
          <cell r="D284">
            <v>2065.92</v>
          </cell>
          <cell r="E284">
            <v>2082.42</v>
          </cell>
          <cell r="F284">
            <v>2082.42</v>
          </cell>
        </row>
        <row r="285">
          <cell r="A285">
            <v>42474</v>
          </cell>
          <cell r="B285">
            <v>2082.89</v>
          </cell>
          <cell r="C285">
            <v>2087.84</v>
          </cell>
          <cell r="D285">
            <v>2078.13</v>
          </cell>
          <cell r="E285">
            <v>2082.7800000000002</v>
          </cell>
          <cell r="F285">
            <v>2082.7800000000002</v>
          </cell>
        </row>
        <row r="286">
          <cell r="A286">
            <v>42475</v>
          </cell>
          <cell r="B286">
            <v>2083.1</v>
          </cell>
          <cell r="C286">
            <v>2083.2199999999998</v>
          </cell>
          <cell r="D286">
            <v>2076.31</v>
          </cell>
          <cell r="E286">
            <v>2080.73</v>
          </cell>
          <cell r="F286">
            <v>2080.73</v>
          </cell>
        </row>
        <row r="287">
          <cell r="A287">
            <v>42478</v>
          </cell>
          <cell r="B287">
            <v>2078.83</v>
          </cell>
          <cell r="C287">
            <v>2094.66</v>
          </cell>
          <cell r="D287">
            <v>2073.65</v>
          </cell>
          <cell r="E287">
            <v>2094.34</v>
          </cell>
          <cell r="F287">
            <v>2094.34</v>
          </cell>
        </row>
        <row r="288">
          <cell r="A288">
            <v>42479</v>
          </cell>
          <cell r="B288">
            <v>2096.0500000000002</v>
          </cell>
          <cell r="C288">
            <v>2104.0500000000002</v>
          </cell>
          <cell r="D288">
            <v>2091.6799999999998</v>
          </cell>
          <cell r="E288">
            <v>2100.8000000000002</v>
          </cell>
          <cell r="F288">
            <v>2100.8000000000002</v>
          </cell>
        </row>
        <row r="289">
          <cell r="A289">
            <v>42480</v>
          </cell>
          <cell r="B289">
            <v>2101.52</v>
          </cell>
          <cell r="C289">
            <v>2111.0500000000002</v>
          </cell>
          <cell r="D289">
            <v>2096.3200000000002</v>
          </cell>
          <cell r="E289">
            <v>2102.4</v>
          </cell>
          <cell r="F289">
            <v>2102.4</v>
          </cell>
        </row>
        <row r="290">
          <cell r="A290">
            <v>42481</v>
          </cell>
          <cell r="B290">
            <v>2102.09</v>
          </cell>
          <cell r="C290">
            <v>2103.7800000000002</v>
          </cell>
          <cell r="D290">
            <v>2088.52</v>
          </cell>
          <cell r="E290">
            <v>2091.48</v>
          </cell>
          <cell r="F290">
            <v>2091.48</v>
          </cell>
        </row>
        <row r="291">
          <cell r="A291">
            <v>42482</v>
          </cell>
          <cell r="B291">
            <v>2091.4899999999998</v>
          </cell>
          <cell r="C291">
            <v>2094.3200000000002</v>
          </cell>
          <cell r="D291">
            <v>2081.1999999999998</v>
          </cell>
          <cell r="E291">
            <v>2091.58</v>
          </cell>
          <cell r="F291">
            <v>2091.58</v>
          </cell>
        </row>
        <row r="292">
          <cell r="A292">
            <v>42485</v>
          </cell>
          <cell r="B292">
            <v>2089.37</v>
          </cell>
          <cell r="C292">
            <v>2089.37</v>
          </cell>
          <cell r="D292">
            <v>2077.52</v>
          </cell>
          <cell r="E292">
            <v>2087.79</v>
          </cell>
          <cell r="F292">
            <v>2087.79</v>
          </cell>
        </row>
        <row r="293">
          <cell r="A293">
            <v>42486</v>
          </cell>
          <cell r="B293">
            <v>2089.84</v>
          </cell>
          <cell r="C293">
            <v>2096.87</v>
          </cell>
          <cell r="D293">
            <v>2085.8000000000002</v>
          </cell>
          <cell r="E293">
            <v>2091.6999999999998</v>
          </cell>
          <cell r="F293">
            <v>2091.6999999999998</v>
          </cell>
        </row>
        <row r="294">
          <cell r="A294">
            <v>42487</v>
          </cell>
          <cell r="B294">
            <v>2092.33</v>
          </cell>
          <cell r="C294">
            <v>2099.89</v>
          </cell>
          <cell r="D294">
            <v>2082.31</v>
          </cell>
          <cell r="E294">
            <v>2095.15</v>
          </cell>
          <cell r="F294">
            <v>2095.15</v>
          </cell>
        </row>
        <row r="295">
          <cell r="A295">
            <v>42488</v>
          </cell>
          <cell r="B295">
            <v>2090.9299999999998</v>
          </cell>
          <cell r="C295">
            <v>2099.3000000000002</v>
          </cell>
          <cell r="D295">
            <v>2071.62</v>
          </cell>
          <cell r="E295">
            <v>2075.81</v>
          </cell>
          <cell r="F295">
            <v>2075.81</v>
          </cell>
        </row>
        <row r="296">
          <cell r="A296">
            <v>42489</v>
          </cell>
          <cell r="B296">
            <v>2071.8200000000002</v>
          </cell>
          <cell r="C296">
            <v>2073.85</v>
          </cell>
          <cell r="D296">
            <v>2052.2800000000002</v>
          </cell>
          <cell r="E296">
            <v>2065.3000000000002</v>
          </cell>
          <cell r="F296">
            <v>2065.3000000000002</v>
          </cell>
        </row>
        <row r="297">
          <cell r="A297">
            <v>42492</v>
          </cell>
          <cell r="B297">
            <v>2067.17</v>
          </cell>
          <cell r="C297">
            <v>2083.42</v>
          </cell>
          <cell r="D297">
            <v>2066.11</v>
          </cell>
          <cell r="E297">
            <v>2081.4299999999998</v>
          </cell>
          <cell r="F297">
            <v>2081.4299999999998</v>
          </cell>
        </row>
        <row r="298">
          <cell r="A298">
            <v>42493</v>
          </cell>
          <cell r="B298">
            <v>2077.1799999999998</v>
          </cell>
          <cell r="C298">
            <v>2077.1799999999998</v>
          </cell>
          <cell r="D298">
            <v>2054.89</v>
          </cell>
          <cell r="E298">
            <v>2063.37</v>
          </cell>
          <cell r="F298">
            <v>2063.37</v>
          </cell>
        </row>
        <row r="299">
          <cell r="A299">
            <v>42494</v>
          </cell>
          <cell r="B299">
            <v>2060.3000000000002</v>
          </cell>
          <cell r="C299">
            <v>2060.3000000000002</v>
          </cell>
          <cell r="D299">
            <v>2045.55</v>
          </cell>
          <cell r="E299">
            <v>2051.12</v>
          </cell>
          <cell r="F299">
            <v>2051.12</v>
          </cell>
        </row>
        <row r="300">
          <cell r="A300">
            <v>42495</v>
          </cell>
          <cell r="B300">
            <v>2052.9499999999998</v>
          </cell>
          <cell r="C300">
            <v>2060.23</v>
          </cell>
          <cell r="D300">
            <v>2045.77</v>
          </cell>
          <cell r="E300">
            <v>2050.63</v>
          </cell>
          <cell r="F300">
            <v>2050.63</v>
          </cell>
        </row>
        <row r="301">
          <cell r="A301">
            <v>42496</v>
          </cell>
          <cell r="B301">
            <v>2047.77</v>
          </cell>
          <cell r="C301">
            <v>2057.7199999999998</v>
          </cell>
          <cell r="D301">
            <v>2039.45</v>
          </cell>
          <cell r="E301">
            <v>2057.14</v>
          </cell>
          <cell r="F301">
            <v>2057.14</v>
          </cell>
        </row>
        <row r="302">
          <cell r="A302">
            <v>42499</v>
          </cell>
          <cell r="B302">
            <v>2057.5500000000002</v>
          </cell>
          <cell r="C302">
            <v>2064.15</v>
          </cell>
          <cell r="D302">
            <v>2054.31</v>
          </cell>
          <cell r="E302">
            <v>2058.69</v>
          </cell>
          <cell r="F302">
            <v>2058.69</v>
          </cell>
        </row>
        <row r="303">
          <cell r="A303">
            <v>42500</v>
          </cell>
          <cell r="B303">
            <v>2062.63</v>
          </cell>
          <cell r="C303">
            <v>2084.87</v>
          </cell>
          <cell r="D303">
            <v>2062.63</v>
          </cell>
          <cell r="E303">
            <v>2084.39</v>
          </cell>
          <cell r="F303">
            <v>2084.39</v>
          </cell>
        </row>
        <row r="304">
          <cell r="A304">
            <v>42501</v>
          </cell>
          <cell r="B304">
            <v>2083.29</v>
          </cell>
          <cell r="C304">
            <v>2083.29</v>
          </cell>
          <cell r="D304">
            <v>2064.46</v>
          </cell>
          <cell r="E304">
            <v>2064.46</v>
          </cell>
          <cell r="F304">
            <v>2064.46</v>
          </cell>
        </row>
        <row r="305">
          <cell r="A305">
            <v>42502</v>
          </cell>
          <cell r="B305">
            <v>2067.17</v>
          </cell>
          <cell r="C305">
            <v>2073.9899999999998</v>
          </cell>
          <cell r="D305">
            <v>2053.13</v>
          </cell>
          <cell r="E305">
            <v>2064.11</v>
          </cell>
          <cell r="F305">
            <v>2064.11</v>
          </cell>
        </row>
        <row r="306">
          <cell r="A306">
            <v>42503</v>
          </cell>
          <cell r="B306">
            <v>2062.5</v>
          </cell>
          <cell r="C306">
            <v>2066.79</v>
          </cell>
          <cell r="D306">
            <v>2043.13</v>
          </cell>
          <cell r="E306">
            <v>2046.61</v>
          </cell>
          <cell r="F306">
            <v>2046.61</v>
          </cell>
        </row>
        <row r="307">
          <cell r="A307">
            <v>42506</v>
          </cell>
          <cell r="B307">
            <v>2046.53</v>
          </cell>
          <cell r="C307">
            <v>2071.88</v>
          </cell>
          <cell r="D307">
            <v>2046.53</v>
          </cell>
          <cell r="E307">
            <v>2066.66</v>
          </cell>
          <cell r="F307">
            <v>2066.66</v>
          </cell>
        </row>
        <row r="308">
          <cell r="A308">
            <v>42507</v>
          </cell>
          <cell r="B308">
            <v>2065.04</v>
          </cell>
          <cell r="C308">
            <v>2065.69</v>
          </cell>
          <cell r="D308">
            <v>2040.82</v>
          </cell>
          <cell r="E308">
            <v>2047.21</v>
          </cell>
          <cell r="F308">
            <v>2047.21</v>
          </cell>
        </row>
        <row r="309">
          <cell r="A309">
            <v>42508</v>
          </cell>
          <cell r="B309">
            <v>2044.38</v>
          </cell>
          <cell r="C309">
            <v>2060.61</v>
          </cell>
          <cell r="D309">
            <v>2034.49</v>
          </cell>
          <cell r="E309">
            <v>2047.63</v>
          </cell>
          <cell r="F309">
            <v>2047.63</v>
          </cell>
        </row>
        <row r="310">
          <cell r="A310">
            <v>42509</v>
          </cell>
          <cell r="B310">
            <v>2044.21</v>
          </cell>
          <cell r="C310">
            <v>2044.21</v>
          </cell>
          <cell r="D310">
            <v>2025.91</v>
          </cell>
          <cell r="E310">
            <v>2040.04</v>
          </cell>
          <cell r="F310">
            <v>2040.04</v>
          </cell>
        </row>
        <row r="311">
          <cell r="A311">
            <v>42510</v>
          </cell>
          <cell r="B311">
            <v>2041.88</v>
          </cell>
          <cell r="C311">
            <v>2058.35</v>
          </cell>
          <cell r="D311">
            <v>2041.88</v>
          </cell>
          <cell r="E311">
            <v>2052.3200000000002</v>
          </cell>
          <cell r="F311">
            <v>2052.3200000000002</v>
          </cell>
        </row>
        <row r="312">
          <cell r="A312">
            <v>42513</v>
          </cell>
          <cell r="B312">
            <v>2052.23</v>
          </cell>
          <cell r="C312">
            <v>2055.58</v>
          </cell>
          <cell r="D312">
            <v>2047.26</v>
          </cell>
          <cell r="E312">
            <v>2048.04</v>
          </cell>
          <cell r="F312">
            <v>2048.04</v>
          </cell>
        </row>
        <row r="313">
          <cell r="A313">
            <v>42514</v>
          </cell>
          <cell r="B313">
            <v>2052.65</v>
          </cell>
          <cell r="C313">
            <v>2079.67</v>
          </cell>
          <cell r="D313">
            <v>2052.65</v>
          </cell>
          <cell r="E313">
            <v>2076.06</v>
          </cell>
          <cell r="F313">
            <v>2076.06</v>
          </cell>
        </row>
        <row r="314">
          <cell r="A314">
            <v>42515</v>
          </cell>
          <cell r="B314">
            <v>2078.9299999999998</v>
          </cell>
          <cell r="C314">
            <v>2094.73</v>
          </cell>
          <cell r="D314">
            <v>2078.9299999999998</v>
          </cell>
          <cell r="E314">
            <v>2090.54</v>
          </cell>
          <cell r="F314">
            <v>2090.54</v>
          </cell>
        </row>
        <row r="315">
          <cell r="A315">
            <v>42516</v>
          </cell>
          <cell r="B315">
            <v>2091.44</v>
          </cell>
          <cell r="C315">
            <v>2094.3000000000002</v>
          </cell>
          <cell r="D315">
            <v>2087.08</v>
          </cell>
          <cell r="E315">
            <v>2090.1</v>
          </cell>
          <cell r="F315">
            <v>2090.1</v>
          </cell>
        </row>
        <row r="316">
          <cell r="A316">
            <v>42517</v>
          </cell>
          <cell r="B316">
            <v>2090.06</v>
          </cell>
          <cell r="C316">
            <v>2099.06</v>
          </cell>
          <cell r="D316">
            <v>2090.06</v>
          </cell>
          <cell r="E316">
            <v>2099.06</v>
          </cell>
          <cell r="F316">
            <v>2099.06</v>
          </cell>
        </row>
        <row r="317">
          <cell r="A317">
            <v>42521</v>
          </cell>
          <cell r="B317">
            <v>2100.13</v>
          </cell>
          <cell r="C317">
            <v>2103.48</v>
          </cell>
          <cell r="D317">
            <v>2088.66</v>
          </cell>
          <cell r="E317">
            <v>2096.9499999999998</v>
          </cell>
          <cell r="F317">
            <v>2096.9499999999998</v>
          </cell>
        </row>
        <row r="318">
          <cell r="A318">
            <v>42522</v>
          </cell>
          <cell r="B318">
            <v>2093.94</v>
          </cell>
          <cell r="C318">
            <v>2100.9699999999998</v>
          </cell>
          <cell r="D318">
            <v>2085.1</v>
          </cell>
          <cell r="E318">
            <v>2099.33</v>
          </cell>
          <cell r="F318">
            <v>2099.33</v>
          </cell>
        </row>
        <row r="319">
          <cell r="A319">
            <v>42523</v>
          </cell>
          <cell r="B319">
            <v>2097.71</v>
          </cell>
          <cell r="C319">
            <v>2105.2600000000002</v>
          </cell>
          <cell r="D319">
            <v>2088.59</v>
          </cell>
          <cell r="E319">
            <v>2105.2600000000002</v>
          </cell>
          <cell r="F319">
            <v>2105.2600000000002</v>
          </cell>
        </row>
        <row r="320">
          <cell r="A320">
            <v>42524</v>
          </cell>
          <cell r="B320">
            <v>2104.0700000000002</v>
          </cell>
          <cell r="C320">
            <v>2104.0700000000002</v>
          </cell>
          <cell r="D320">
            <v>2085.36</v>
          </cell>
          <cell r="E320">
            <v>2099.13</v>
          </cell>
          <cell r="F320">
            <v>2099.13</v>
          </cell>
        </row>
        <row r="321">
          <cell r="A321">
            <v>42527</v>
          </cell>
          <cell r="B321">
            <v>2100.83</v>
          </cell>
          <cell r="C321">
            <v>2113.36</v>
          </cell>
          <cell r="D321">
            <v>2100.83</v>
          </cell>
          <cell r="E321">
            <v>2109.41</v>
          </cell>
          <cell r="F321">
            <v>2109.41</v>
          </cell>
        </row>
        <row r="322">
          <cell r="A322">
            <v>42528</v>
          </cell>
          <cell r="B322">
            <v>2110.1799999999998</v>
          </cell>
          <cell r="C322">
            <v>2119.2199999999998</v>
          </cell>
          <cell r="D322">
            <v>2110.1799999999998</v>
          </cell>
          <cell r="E322">
            <v>2112.13</v>
          </cell>
          <cell r="F322">
            <v>2112.13</v>
          </cell>
        </row>
        <row r="323">
          <cell r="A323">
            <v>42529</v>
          </cell>
          <cell r="B323">
            <v>2112.71</v>
          </cell>
          <cell r="C323">
            <v>2120.5500000000002</v>
          </cell>
          <cell r="D323">
            <v>2112.71</v>
          </cell>
          <cell r="E323">
            <v>2119.12</v>
          </cell>
          <cell r="F323">
            <v>2119.12</v>
          </cell>
        </row>
        <row r="324">
          <cell r="A324">
            <v>42530</v>
          </cell>
          <cell r="B324">
            <v>2115.65</v>
          </cell>
          <cell r="C324">
            <v>2117.64</v>
          </cell>
          <cell r="D324">
            <v>2107.73</v>
          </cell>
          <cell r="E324">
            <v>2115.48</v>
          </cell>
          <cell r="F324">
            <v>2115.48</v>
          </cell>
        </row>
        <row r="325">
          <cell r="A325">
            <v>42531</v>
          </cell>
          <cell r="B325">
            <v>2109.5700000000002</v>
          </cell>
          <cell r="C325">
            <v>2109.5700000000002</v>
          </cell>
          <cell r="D325">
            <v>2089.96</v>
          </cell>
          <cell r="E325">
            <v>2096.0700000000002</v>
          </cell>
          <cell r="F325">
            <v>2096.0700000000002</v>
          </cell>
        </row>
        <row r="326">
          <cell r="A326">
            <v>42534</v>
          </cell>
          <cell r="B326">
            <v>2091.75</v>
          </cell>
          <cell r="C326">
            <v>2098.12</v>
          </cell>
          <cell r="D326">
            <v>2078.46</v>
          </cell>
          <cell r="E326">
            <v>2079.06</v>
          </cell>
          <cell r="F326">
            <v>2079.06</v>
          </cell>
        </row>
        <row r="327">
          <cell r="A327">
            <v>42535</v>
          </cell>
          <cell r="B327">
            <v>2076.65</v>
          </cell>
          <cell r="C327">
            <v>2081.3000000000002</v>
          </cell>
          <cell r="D327">
            <v>2064.1</v>
          </cell>
          <cell r="E327">
            <v>2075.3200000000002</v>
          </cell>
          <cell r="F327">
            <v>2075.3200000000002</v>
          </cell>
        </row>
        <row r="328">
          <cell r="A328">
            <v>42536</v>
          </cell>
          <cell r="B328">
            <v>2077.6</v>
          </cell>
          <cell r="C328">
            <v>2085.65</v>
          </cell>
          <cell r="D328">
            <v>2069.8000000000002</v>
          </cell>
          <cell r="E328">
            <v>2071.5</v>
          </cell>
          <cell r="F328">
            <v>2071.5</v>
          </cell>
        </row>
        <row r="329">
          <cell r="A329">
            <v>42537</v>
          </cell>
          <cell r="B329">
            <v>2066.36</v>
          </cell>
          <cell r="C329">
            <v>2079.62</v>
          </cell>
          <cell r="D329">
            <v>2050.37</v>
          </cell>
          <cell r="E329">
            <v>2077.9899999999998</v>
          </cell>
          <cell r="F329">
            <v>2077.9899999999998</v>
          </cell>
        </row>
        <row r="330">
          <cell r="A330">
            <v>42538</v>
          </cell>
          <cell r="B330">
            <v>2078.1999999999998</v>
          </cell>
          <cell r="C330">
            <v>2078.1999999999998</v>
          </cell>
          <cell r="D330">
            <v>2062.84</v>
          </cell>
          <cell r="E330">
            <v>2071.2199999999998</v>
          </cell>
          <cell r="F330">
            <v>2071.2199999999998</v>
          </cell>
        </row>
        <row r="331">
          <cell r="A331">
            <v>42541</v>
          </cell>
          <cell r="B331">
            <v>2075.58</v>
          </cell>
          <cell r="C331">
            <v>2100.66</v>
          </cell>
          <cell r="D331">
            <v>2075.58</v>
          </cell>
          <cell r="E331">
            <v>2083.25</v>
          </cell>
          <cell r="F331">
            <v>2083.25</v>
          </cell>
        </row>
        <row r="332">
          <cell r="A332">
            <v>42542</v>
          </cell>
          <cell r="B332">
            <v>2085.19</v>
          </cell>
          <cell r="C332">
            <v>2093.66</v>
          </cell>
          <cell r="D332">
            <v>2083.02</v>
          </cell>
          <cell r="E332">
            <v>2088.9</v>
          </cell>
          <cell r="F332">
            <v>2088.9</v>
          </cell>
        </row>
        <row r="333">
          <cell r="A333">
            <v>42543</v>
          </cell>
          <cell r="B333">
            <v>2089.75</v>
          </cell>
          <cell r="C333">
            <v>2099.71</v>
          </cell>
          <cell r="D333">
            <v>2084.36</v>
          </cell>
          <cell r="E333">
            <v>2085.4499999999998</v>
          </cell>
          <cell r="F333">
            <v>2085.4499999999998</v>
          </cell>
        </row>
        <row r="334">
          <cell r="A334">
            <v>42544</v>
          </cell>
          <cell r="B334">
            <v>2092.8000000000002</v>
          </cell>
          <cell r="C334">
            <v>2113.3200000000002</v>
          </cell>
          <cell r="D334">
            <v>2092.8000000000002</v>
          </cell>
          <cell r="E334">
            <v>2113.3200000000002</v>
          </cell>
          <cell r="F334">
            <v>2113.3200000000002</v>
          </cell>
        </row>
        <row r="335">
          <cell r="A335">
            <v>42545</v>
          </cell>
          <cell r="B335">
            <v>2103.81</v>
          </cell>
          <cell r="C335">
            <v>2103.81</v>
          </cell>
          <cell r="D335">
            <v>2032.57</v>
          </cell>
          <cell r="E335">
            <v>2037.41</v>
          </cell>
          <cell r="F335">
            <v>2037.41</v>
          </cell>
        </row>
        <row r="336">
          <cell r="A336">
            <v>42548</v>
          </cell>
          <cell r="B336">
            <v>2031.45</v>
          </cell>
          <cell r="C336">
            <v>2031.45</v>
          </cell>
          <cell r="D336">
            <v>1991.68</v>
          </cell>
          <cell r="E336">
            <v>2000.54</v>
          </cell>
          <cell r="F336">
            <v>2000.54</v>
          </cell>
        </row>
        <row r="337">
          <cell r="A337">
            <v>42549</v>
          </cell>
          <cell r="B337">
            <v>2006.67</v>
          </cell>
          <cell r="C337">
            <v>2036.09</v>
          </cell>
          <cell r="D337">
            <v>2006.67</v>
          </cell>
          <cell r="E337">
            <v>2036.09</v>
          </cell>
          <cell r="F337">
            <v>2036.09</v>
          </cell>
        </row>
        <row r="338">
          <cell r="A338">
            <v>42550</v>
          </cell>
          <cell r="B338">
            <v>2042.69</v>
          </cell>
          <cell r="C338">
            <v>2073.13</v>
          </cell>
          <cell r="D338">
            <v>2042.69</v>
          </cell>
          <cell r="E338">
            <v>2070.77</v>
          </cell>
          <cell r="F338">
            <v>2070.77</v>
          </cell>
        </row>
        <row r="339">
          <cell r="A339">
            <v>42551</v>
          </cell>
          <cell r="B339">
            <v>2073.17</v>
          </cell>
          <cell r="C339">
            <v>2098.94</v>
          </cell>
          <cell r="D339">
            <v>2070</v>
          </cell>
          <cell r="E339">
            <v>2098.86</v>
          </cell>
          <cell r="F339">
            <v>2098.86</v>
          </cell>
        </row>
        <row r="340">
          <cell r="A340">
            <v>42552</v>
          </cell>
          <cell r="B340">
            <v>2099.34</v>
          </cell>
          <cell r="C340">
            <v>2108.71</v>
          </cell>
          <cell r="D340">
            <v>2097.9</v>
          </cell>
          <cell r="E340">
            <v>2102.9499999999998</v>
          </cell>
          <cell r="F340">
            <v>2102.9499999999998</v>
          </cell>
        </row>
        <row r="341">
          <cell r="A341">
            <v>42556</v>
          </cell>
          <cell r="B341">
            <v>2095.0500000000002</v>
          </cell>
          <cell r="C341">
            <v>2095.0500000000002</v>
          </cell>
          <cell r="D341">
            <v>2080.86</v>
          </cell>
          <cell r="E341">
            <v>2088.5500000000002</v>
          </cell>
          <cell r="F341">
            <v>2088.5500000000002</v>
          </cell>
        </row>
        <row r="342">
          <cell r="A342">
            <v>42557</v>
          </cell>
          <cell r="B342">
            <v>2084.4299999999998</v>
          </cell>
          <cell r="C342">
            <v>2100.7199999999998</v>
          </cell>
          <cell r="D342">
            <v>2074.02</v>
          </cell>
          <cell r="E342">
            <v>2099.73</v>
          </cell>
          <cell r="F342">
            <v>2099.73</v>
          </cell>
        </row>
        <row r="343">
          <cell r="A343">
            <v>42558</v>
          </cell>
          <cell r="B343">
            <v>2100.42</v>
          </cell>
          <cell r="C343">
            <v>2109.08</v>
          </cell>
          <cell r="D343">
            <v>2089.39</v>
          </cell>
          <cell r="E343">
            <v>2097.9</v>
          </cell>
          <cell r="F343">
            <v>2097.9</v>
          </cell>
        </row>
        <row r="344">
          <cell r="A344">
            <v>42559</v>
          </cell>
          <cell r="B344">
            <v>2106.9699999999998</v>
          </cell>
          <cell r="C344">
            <v>2131.71</v>
          </cell>
          <cell r="D344">
            <v>2106.9699999999998</v>
          </cell>
          <cell r="E344">
            <v>2129.9</v>
          </cell>
          <cell r="F344">
            <v>2129.9</v>
          </cell>
        </row>
        <row r="345">
          <cell r="A345">
            <v>42562</v>
          </cell>
          <cell r="B345">
            <v>2131.7199999999998</v>
          </cell>
          <cell r="C345">
            <v>2143.16</v>
          </cell>
          <cell r="D345">
            <v>2131.7199999999998</v>
          </cell>
          <cell r="E345">
            <v>2137.16</v>
          </cell>
          <cell r="F345">
            <v>2137.16</v>
          </cell>
        </row>
        <row r="346">
          <cell r="A346">
            <v>42563</v>
          </cell>
          <cell r="B346">
            <v>2139.5</v>
          </cell>
          <cell r="C346">
            <v>2155.4</v>
          </cell>
          <cell r="D346">
            <v>2139.5</v>
          </cell>
          <cell r="E346">
            <v>2152.14</v>
          </cell>
          <cell r="F346">
            <v>2152.14</v>
          </cell>
        </row>
        <row r="347">
          <cell r="A347">
            <v>42564</v>
          </cell>
          <cell r="B347">
            <v>2153.81</v>
          </cell>
          <cell r="C347">
            <v>2156.4499999999998</v>
          </cell>
          <cell r="D347">
            <v>2146.21</v>
          </cell>
          <cell r="E347">
            <v>2152.4299999999998</v>
          </cell>
          <cell r="F347">
            <v>2152.4299999999998</v>
          </cell>
        </row>
        <row r="348">
          <cell r="A348">
            <v>42565</v>
          </cell>
          <cell r="B348">
            <v>2157.88</v>
          </cell>
          <cell r="C348">
            <v>2168.9899999999998</v>
          </cell>
          <cell r="D348">
            <v>2157.88</v>
          </cell>
          <cell r="E348">
            <v>2163.75</v>
          </cell>
          <cell r="F348">
            <v>2163.75</v>
          </cell>
        </row>
        <row r="349">
          <cell r="A349">
            <v>42566</v>
          </cell>
          <cell r="B349">
            <v>2165.13</v>
          </cell>
          <cell r="C349">
            <v>2169.0500000000002</v>
          </cell>
          <cell r="D349">
            <v>2155.79</v>
          </cell>
          <cell r="E349">
            <v>2161.7399999999998</v>
          </cell>
          <cell r="F349">
            <v>2161.7399999999998</v>
          </cell>
        </row>
        <row r="350">
          <cell r="A350">
            <v>42569</v>
          </cell>
          <cell r="B350">
            <v>2162.04</v>
          </cell>
          <cell r="C350">
            <v>2168.35</v>
          </cell>
          <cell r="D350">
            <v>2159.63</v>
          </cell>
          <cell r="E350">
            <v>2166.89</v>
          </cell>
          <cell r="F350">
            <v>2166.89</v>
          </cell>
        </row>
        <row r="351">
          <cell r="A351">
            <v>42570</v>
          </cell>
          <cell r="B351">
            <v>2163.79</v>
          </cell>
          <cell r="C351">
            <v>2164.63</v>
          </cell>
          <cell r="D351">
            <v>2159.0100000000002</v>
          </cell>
          <cell r="E351">
            <v>2163.7800000000002</v>
          </cell>
          <cell r="F351">
            <v>2163.7800000000002</v>
          </cell>
        </row>
        <row r="352">
          <cell r="A352">
            <v>42571</v>
          </cell>
          <cell r="B352">
            <v>2166.1</v>
          </cell>
          <cell r="C352">
            <v>2175.63</v>
          </cell>
          <cell r="D352">
            <v>2164.89</v>
          </cell>
          <cell r="E352">
            <v>2173.02</v>
          </cell>
          <cell r="F352">
            <v>2173.02</v>
          </cell>
        </row>
        <row r="353">
          <cell r="A353">
            <v>42572</v>
          </cell>
          <cell r="B353">
            <v>2172.91</v>
          </cell>
          <cell r="C353">
            <v>2174.56</v>
          </cell>
          <cell r="D353">
            <v>2159.75</v>
          </cell>
          <cell r="E353">
            <v>2165.17</v>
          </cell>
          <cell r="F353">
            <v>2165.17</v>
          </cell>
        </row>
        <row r="354">
          <cell r="A354">
            <v>42573</v>
          </cell>
          <cell r="B354">
            <v>2166.4699999999998</v>
          </cell>
          <cell r="C354">
            <v>2175.11</v>
          </cell>
          <cell r="D354">
            <v>2163.2399999999998</v>
          </cell>
          <cell r="E354">
            <v>2175.0300000000002</v>
          </cell>
          <cell r="F354">
            <v>2175.0300000000002</v>
          </cell>
        </row>
        <row r="355">
          <cell r="A355">
            <v>42576</v>
          </cell>
          <cell r="B355">
            <v>2173.71</v>
          </cell>
          <cell r="C355">
            <v>2173.71</v>
          </cell>
          <cell r="D355">
            <v>2161.9499999999998</v>
          </cell>
          <cell r="E355">
            <v>2168.48</v>
          </cell>
          <cell r="F355">
            <v>2168.48</v>
          </cell>
        </row>
        <row r="356">
          <cell r="A356">
            <v>42577</v>
          </cell>
          <cell r="B356">
            <v>2168.9699999999998</v>
          </cell>
          <cell r="C356">
            <v>2173.54</v>
          </cell>
          <cell r="D356">
            <v>2160.1799999999998</v>
          </cell>
          <cell r="E356">
            <v>2169.1799999999998</v>
          </cell>
          <cell r="F356">
            <v>2169.1799999999998</v>
          </cell>
        </row>
        <row r="357">
          <cell r="A357">
            <v>42578</v>
          </cell>
          <cell r="B357">
            <v>2169.81</v>
          </cell>
          <cell r="C357">
            <v>2174.98</v>
          </cell>
          <cell r="D357">
            <v>2159.0700000000002</v>
          </cell>
          <cell r="E357">
            <v>2166.58</v>
          </cell>
          <cell r="F357">
            <v>2166.58</v>
          </cell>
        </row>
        <row r="358">
          <cell r="A358">
            <v>42579</v>
          </cell>
          <cell r="B358">
            <v>2166.0500000000002</v>
          </cell>
          <cell r="C358">
            <v>2172.85</v>
          </cell>
          <cell r="D358">
            <v>2159.7399999999998</v>
          </cell>
          <cell r="E358">
            <v>2170.06</v>
          </cell>
          <cell r="F358">
            <v>2170.06</v>
          </cell>
        </row>
        <row r="359">
          <cell r="A359">
            <v>42580</v>
          </cell>
          <cell r="B359">
            <v>2168.83</v>
          </cell>
          <cell r="C359">
            <v>2177.09</v>
          </cell>
          <cell r="D359">
            <v>2163.4899999999998</v>
          </cell>
          <cell r="E359">
            <v>2173.6</v>
          </cell>
          <cell r="F359">
            <v>2173.6</v>
          </cell>
        </row>
        <row r="360">
          <cell r="A360">
            <v>42583</v>
          </cell>
          <cell r="B360">
            <v>2173.15</v>
          </cell>
          <cell r="C360">
            <v>2178.29</v>
          </cell>
          <cell r="D360">
            <v>2166.21</v>
          </cell>
          <cell r="E360">
            <v>2170.84</v>
          </cell>
          <cell r="F360">
            <v>2170.84</v>
          </cell>
        </row>
        <row r="361">
          <cell r="A361">
            <v>42584</v>
          </cell>
          <cell r="B361">
            <v>2169.94</v>
          </cell>
          <cell r="C361">
            <v>2170.1999999999998</v>
          </cell>
          <cell r="D361">
            <v>2147.58</v>
          </cell>
          <cell r="E361">
            <v>2157.0300000000002</v>
          </cell>
          <cell r="F361">
            <v>2157.0300000000002</v>
          </cell>
        </row>
        <row r="362">
          <cell r="A362">
            <v>42585</v>
          </cell>
          <cell r="B362">
            <v>2156.81</v>
          </cell>
          <cell r="C362">
            <v>2163.79</v>
          </cell>
          <cell r="D362">
            <v>2152.56</v>
          </cell>
          <cell r="E362">
            <v>2163.79</v>
          </cell>
          <cell r="F362">
            <v>2163.79</v>
          </cell>
        </row>
        <row r="363">
          <cell r="A363">
            <v>42586</v>
          </cell>
          <cell r="B363">
            <v>2163.5100000000002</v>
          </cell>
          <cell r="C363">
            <v>2168.19</v>
          </cell>
          <cell r="D363">
            <v>2159.0700000000002</v>
          </cell>
          <cell r="E363">
            <v>2164.25</v>
          </cell>
          <cell r="F363">
            <v>2164.25</v>
          </cell>
        </row>
        <row r="364">
          <cell r="A364">
            <v>42587</v>
          </cell>
          <cell r="B364">
            <v>2168.79</v>
          </cell>
          <cell r="C364">
            <v>2182.87</v>
          </cell>
          <cell r="D364">
            <v>2168.79</v>
          </cell>
          <cell r="E364">
            <v>2182.87</v>
          </cell>
          <cell r="F364">
            <v>2182.87</v>
          </cell>
        </row>
        <row r="365">
          <cell r="A365">
            <v>42590</v>
          </cell>
          <cell r="B365">
            <v>2183.7600000000002</v>
          </cell>
          <cell r="C365">
            <v>2185.44</v>
          </cell>
          <cell r="D365">
            <v>2177.85</v>
          </cell>
          <cell r="E365">
            <v>2180.89</v>
          </cell>
          <cell r="F365">
            <v>2180.89</v>
          </cell>
        </row>
        <row r="366">
          <cell r="A366">
            <v>42591</v>
          </cell>
          <cell r="B366">
            <v>2182.2399999999998</v>
          </cell>
          <cell r="C366">
            <v>2187.66</v>
          </cell>
          <cell r="D366">
            <v>2178.61</v>
          </cell>
          <cell r="E366">
            <v>2181.7399999999998</v>
          </cell>
          <cell r="F366">
            <v>2181.7399999999998</v>
          </cell>
        </row>
        <row r="367">
          <cell r="A367">
            <v>42592</v>
          </cell>
          <cell r="B367">
            <v>2182.81</v>
          </cell>
          <cell r="C367">
            <v>2183.41</v>
          </cell>
          <cell r="D367">
            <v>2172</v>
          </cell>
          <cell r="E367">
            <v>2175.4899999999998</v>
          </cell>
          <cell r="F367">
            <v>2175.4899999999998</v>
          </cell>
        </row>
        <row r="368">
          <cell r="A368">
            <v>42593</v>
          </cell>
          <cell r="B368">
            <v>2177.9699999999998</v>
          </cell>
          <cell r="C368">
            <v>2188.4499999999998</v>
          </cell>
          <cell r="D368">
            <v>2177.9699999999998</v>
          </cell>
          <cell r="E368">
            <v>2185.79</v>
          </cell>
          <cell r="F368">
            <v>2185.79</v>
          </cell>
        </row>
        <row r="369">
          <cell r="A369">
            <v>42594</v>
          </cell>
          <cell r="B369">
            <v>2183.7399999999998</v>
          </cell>
          <cell r="C369">
            <v>2186.2800000000002</v>
          </cell>
          <cell r="D369">
            <v>2179.42</v>
          </cell>
          <cell r="E369">
            <v>2184.0500000000002</v>
          </cell>
          <cell r="F369">
            <v>2184.0500000000002</v>
          </cell>
        </row>
        <row r="370">
          <cell r="A370">
            <v>42597</v>
          </cell>
          <cell r="B370">
            <v>2186.08</v>
          </cell>
          <cell r="C370">
            <v>2193.81</v>
          </cell>
          <cell r="D370">
            <v>2186.08</v>
          </cell>
          <cell r="E370">
            <v>2190.15</v>
          </cell>
          <cell r="F370">
            <v>2190.15</v>
          </cell>
        </row>
        <row r="371">
          <cell r="A371">
            <v>42598</v>
          </cell>
          <cell r="B371">
            <v>2186.2399999999998</v>
          </cell>
          <cell r="C371">
            <v>2186.2399999999998</v>
          </cell>
          <cell r="D371">
            <v>2178.14</v>
          </cell>
          <cell r="E371">
            <v>2178.15</v>
          </cell>
          <cell r="F371">
            <v>2178.15</v>
          </cell>
        </row>
        <row r="372">
          <cell r="A372">
            <v>42599</v>
          </cell>
          <cell r="B372">
            <v>2177.84</v>
          </cell>
          <cell r="C372">
            <v>2183.08</v>
          </cell>
          <cell r="D372">
            <v>2168.5</v>
          </cell>
          <cell r="E372">
            <v>2182.2199999999998</v>
          </cell>
          <cell r="F372">
            <v>2182.2199999999998</v>
          </cell>
        </row>
        <row r="373">
          <cell r="A373">
            <v>42600</v>
          </cell>
          <cell r="B373">
            <v>2181.9</v>
          </cell>
          <cell r="C373">
            <v>2187.0300000000002</v>
          </cell>
          <cell r="D373">
            <v>2180.46</v>
          </cell>
          <cell r="E373">
            <v>2187.02</v>
          </cell>
          <cell r="F373">
            <v>2187.02</v>
          </cell>
        </row>
        <row r="374">
          <cell r="A374">
            <v>42601</v>
          </cell>
          <cell r="B374">
            <v>2184.2399999999998</v>
          </cell>
          <cell r="C374">
            <v>2185</v>
          </cell>
          <cell r="D374">
            <v>2175.13</v>
          </cell>
          <cell r="E374">
            <v>2183.87</v>
          </cell>
          <cell r="F374">
            <v>2183.87</v>
          </cell>
        </row>
        <row r="375">
          <cell r="A375">
            <v>42604</v>
          </cell>
          <cell r="B375">
            <v>2181.58</v>
          </cell>
          <cell r="C375">
            <v>2185.15</v>
          </cell>
          <cell r="D375">
            <v>2175.96</v>
          </cell>
          <cell r="E375">
            <v>2182.64</v>
          </cell>
          <cell r="F375">
            <v>2182.64</v>
          </cell>
        </row>
        <row r="376">
          <cell r="A376">
            <v>42605</v>
          </cell>
          <cell r="B376">
            <v>2187.81</v>
          </cell>
          <cell r="C376">
            <v>2193.42</v>
          </cell>
          <cell r="D376">
            <v>2186.8000000000002</v>
          </cell>
          <cell r="E376">
            <v>2186.9</v>
          </cell>
          <cell r="F376">
            <v>2186.9</v>
          </cell>
        </row>
        <row r="377">
          <cell r="A377">
            <v>42606</v>
          </cell>
          <cell r="B377">
            <v>2185.09</v>
          </cell>
          <cell r="C377">
            <v>2186.66</v>
          </cell>
          <cell r="D377">
            <v>2171.25</v>
          </cell>
          <cell r="E377">
            <v>2175.44</v>
          </cell>
          <cell r="F377">
            <v>2175.44</v>
          </cell>
        </row>
        <row r="378">
          <cell r="A378">
            <v>42607</v>
          </cell>
          <cell r="B378">
            <v>2173.29</v>
          </cell>
          <cell r="C378">
            <v>2179</v>
          </cell>
          <cell r="D378">
            <v>2169.7399999999998</v>
          </cell>
          <cell r="E378">
            <v>2172.4699999999998</v>
          </cell>
          <cell r="F378">
            <v>2172.4699999999998</v>
          </cell>
        </row>
        <row r="379">
          <cell r="A379">
            <v>42608</v>
          </cell>
          <cell r="B379">
            <v>2175.1</v>
          </cell>
          <cell r="C379">
            <v>2187.94</v>
          </cell>
          <cell r="D379">
            <v>2160.39</v>
          </cell>
          <cell r="E379">
            <v>2169.04</v>
          </cell>
          <cell r="F379">
            <v>2169.04</v>
          </cell>
        </row>
        <row r="380">
          <cell r="A380">
            <v>42611</v>
          </cell>
          <cell r="B380">
            <v>2170.19</v>
          </cell>
          <cell r="C380">
            <v>2183.48</v>
          </cell>
          <cell r="D380">
            <v>2170.19</v>
          </cell>
          <cell r="E380">
            <v>2180.38</v>
          </cell>
          <cell r="F380">
            <v>2180.38</v>
          </cell>
        </row>
        <row r="381">
          <cell r="A381">
            <v>42612</v>
          </cell>
          <cell r="B381">
            <v>2179.4499999999998</v>
          </cell>
          <cell r="C381">
            <v>2182.27</v>
          </cell>
          <cell r="D381">
            <v>2170.41</v>
          </cell>
          <cell r="E381">
            <v>2176.12</v>
          </cell>
          <cell r="F381">
            <v>2176.12</v>
          </cell>
        </row>
        <row r="382">
          <cell r="A382">
            <v>42613</v>
          </cell>
          <cell r="B382">
            <v>2173.56</v>
          </cell>
          <cell r="C382">
            <v>2173.79</v>
          </cell>
          <cell r="D382">
            <v>2161.35</v>
          </cell>
          <cell r="E382">
            <v>2170.9499999999998</v>
          </cell>
          <cell r="F382">
            <v>2170.9499999999998</v>
          </cell>
        </row>
        <row r="383">
          <cell r="A383">
            <v>42614</v>
          </cell>
          <cell r="B383">
            <v>2171.33</v>
          </cell>
          <cell r="C383">
            <v>2173.56</v>
          </cell>
          <cell r="D383">
            <v>2157.09</v>
          </cell>
          <cell r="E383">
            <v>2170.86</v>
          </cell>
          <cell r="F383">
            <v>2170.86</v>
          </cell>
        </row>
        <row r="384">
          <cell r="A384">
            <v>42615</v>
          </cell>
          <cell r="B384">
            <v>2177.4899999999998</v>
          </cell>
          <cell r="C384">
            <v>2184.87</v>
          </cell>
          <cell r="D384">
            <v>2173.59</v>
          </cell>
          <cell r="E384">
            <v>2179.98</v>
          </cell>
          <cell r="F384">
            <v>2179.98</v>
          </cell>
        </row>
        <row r="385">
          <cell r="A385">
            <v>42619</v>
          </cell>
          <cell r="B385">
            <v>2181.61</v>
          </cell>
          <cell r="C385">
            <v>2186.5700000000002</v>
          </cell>
          <cell r="D385">
            <v>2175.1</v>
          </cell>
          <cell r="E385">
            <v>2186.48</v>
          </cell>
          <cell r="F385">
            <v>2186.48</v>
          </cell>
        </row>
        <row r="386">
          <cell r="A386">
            <v>42620</v>
          </cell>
          <cell r="B386">
            <v>2185.17</v>
          </cell>
          <cell r="C386">
            <v>2187.87</v>
          </cell>
          <cell r="D386">
            <v>2179.0700000000002</v>
          </cell>
          <cell r="E386">
            <v>2186.16</v>
          </cell>
          <cell r="F386">
            <v>2186.16</v>
          </cell>
        </row>
        <row r="387">
          <cell r="A387">
            <v>42621</v>
          </cell>
          <cell r="B387">
            <v>2182.7600000000002</v>
          </cell>
          <cell r="C387">
            <v>2184.94</v>
          </cell>
          <cell r="D387">
            <v>2177.4899999999998</v>
          </cell>
          <cell r="E387">
            <v>2181.3000000000002</v>
          </cell>
          <cell r="F387">
            <v>2181.3000000000002</v>
          </cell>
        </row>
        <row r="388">
          <cell r="A388">
            <v>42622</v>
          </cell>
          <cell r="B388">
            <v>2169.08</v>
          </cell>
          <cell r="C388">
            <v>2169.08</v>
          </cell>
          <cell r="D388">
            <v>2127.81</v>
          </cell>
          <cell r="E388">
            <v>2127.81</v>
          </cell>
          <cell r="F388">
            <v>2127.81</v>
          </cell>
        </row>
        <row r="389">
          <cell r="A389">
            <v>42625</v>
          </cell>
          <cell r="B389">
            <v>2120.86</v>
          </cell>
          <cell r="C389">
            <v>2163.3000000000002</v>
          </cell>
          <cell r="D389">
            <v>2119.12</v>
          </cell>
          <cell r="E389">
            <v>2159.04</v>
          </cell>
          <cell r="F389">
            <v>2159.04</v>
          </cell>
        </row>
        <row r="390">
          <cell r="A390">
            <v>42626</v>
          </cell>
          <cell r="B390">
            <v>2150.4699999999998</v>
          </cell>
          <cell r="C390">
            <v>2150.4699999999998</v>
          </cell>
          <cell r="D390">
            <v>2120.27</v>
          </cell>
          <cell r="E390">
            <v>2127.02</v>
          </cell>
          <cell r="F390">
            <v>2127.02</v>
          </cell>
        </row>
        <row r="391">
          <cell r="A391">
            <v>42627</v>
          </cell>
          <cell r="B391">
            <v>2127.86</v>
          </cell>
          <cell r="C391">
            <v>2141.33</v>
          </cell>
          <cell r="D391">
            <v>2119.9</v>
          </cell>
          <cell r="E391">
            <v>2125.77</v>
          </cell>
          <cell r="F391">
            <v>2125.77</v>
          </cell>
        </row>
        <row r="392">
          <cell r="A392">
            <v>42628</v>
          </cell>
          <cell r="B392">
            <v>2125.36</v>
          </cell>
          <cell r="C392">
            <v>2151.31</v>
          </cell>
          <cell r="D392">
            <v>2122.36</v>
          </cell>
          <cell r="E392">
            <v>2147.2600000000002</v>
          </cell>
          <cell r="F392">
            <v>2147.2600000000002</v>
          </cell>
        </row>
        <row r="393">
          <cell r="A393">
            <v>42629</v>
          </cell>
          <cell r="B393">
            <v>2146.48</v>
          </cell>
          <cell r="C393">
            <v>2146.48</v>
          </cell>
          <cell r="D393">
            <v>2131.1999999999998</v>
          </cell>
          <cell r="E393">
            <v>2139.16</v>
          </cell>
          <cell r="F393">
            <v>2139.16</v>
          </cell>
        </row>
        <row r="394">
          <cell r="A394">
            <v>42632</v>
          </cell>
          <cell r="B394">
            <v>2143.9899999999998</v>
          </cell>
          <cell r="C394">
            <v>2153.61</v>
          </cell>
          <cell r="D394">
            <v>2135.91</v>
          </cell>
          <cell r="E394">
            <v>2139.12</v>
          </cell>
          <cell r="F394">
            <v>2139.12</v>
          </cell>
        </row>
        <row r="395">
          <cell r="A395">
            <v>42633</v>
          </cell>
          <cell r="B395">
            <v>2145.94</v>
          </cell>
          <cell r="C395">
            <v>2150.8000000000002</v>
          </cell>
          <cell r="D395">
            <v>2139.17</v>
          </cell>
          <cell r="E395">
            <v>2139.7600000000002</v>
          </cell>
          <cell r="F395">
            <v>2139.7600000000002</v>
          </cell>
        </row>
        <row r="396">
          <cell r="A396">
            <v>42634</v>
          </cell>
          <cell r="B396">
            <v>2144.58</v>
          </cell>
          <cell r="C396">
            <v>2165.11</v>
          </cell>
          <cell r="D396">
            <v>2139.5700000000002</v>
          </cell>
          <cell r="E396">
            <v>2163.12</v>
          </cell>
          <cell r="F396">
            <v>2163.12</v>
          </cell>
        </row>
        <row r="397">
          <cell r="A397">
            <v>42635</v>
          </cell>
          <cell r="B397">
            <v>2170.94</v>
          </cell>
          <cell r="C397">
            <v>2179.9899999999998</v>
          </cell>
          <cell r="D397">
            <v>2170.94</v>
          </cell>
          <cell r="E397">
            <v>2177.1799999999998</v>
          </cell>
          <cell r="F397">
            <v>2177.1799999999998</v>
          </cell>
        </row>
        <row r="398">
          <cell r="A398">
            <v>42636</v>
          </cell>
          <cell r="B398">
            <v>2173.29</v>
          </cell>
          <cell r="C398">
            <v>2173.75</v>
          </cell>
          <cell r="D398">
            <v>2163.9699999999998</v>
          </cell>
          <cell r="E398">
            <v>2164.69</v>
          </cell>
          <cell r="F398">
            <v>2164.69</v>
          </cell>
        </row>
        <row r="399">
          <cell r="A399">
            <v>42639</v>
          </cell>
          <cell r="B399">
            <v>2158.54</v>
          </cell>
          <cell r="C399">
            <v>2158.54</v>
          </cell>
          <cell r="D399">
            <v>2145.04</v>
          </cell>
          <cell r="E399">
            <v>2146.1</v>
          </cell>
          <cell r="F399">
            <v>2146.1</v>
          </cell>
        </row>
        <row r="400">
          <cell r="A400">
            <v>42640</v>
          </cell>
          <cell r="B400">
            <v>2146.04</v>
          </cell>
          <cell r="C400">
            <v>2161.13</v>
          </cell>
          <cell r="D400">
            <v>2141.5500000000002</v>
          </cell>
          <cell r="E400">
            <v>2159.9299999999998</v>
          </cell>
          <cell r="F400">
            <v>2159.9299999999998</v>
          </cell>
        </row>
        <row r="401">
          <cell r="A401">
            <v>42641</v>
          </cell>
          <cell r="B401">
            <v>2161.85</v>
          </cell>
          <cell r="C401">
            <v>2172.4</v>
          </cell>
          <cell r="D401">
            <v>2151.79</v>
          </cell>
          <cell r="E401">
            <v>2171.37</v>
          </cell>
          <cell r="F401">
            <v>2171.37</v>
          </cell>
        </row>
        <row r="402">
          <cell r="A402">
            <v>42642</v>
          </cell>
          <cell r="B402">
            <v>2168.9</v>
          </cell>
          <cell r="C402">
            <v>2172.67</v>
          </cell>
          <cell r="D402">
            <v>2145.1999999999998</v>
          </cell>
          <cell r="E402">
            <v>2151.13</v>
          </cell>
          <cell r="F402">
            <v>2151.13</v>
          </cell>
        </row>
        <row r="403">
          <cell r="A403">
            <v>42643</v>
          </cell>
          <cell r="B403">
            <v>2156.5100000000002</v>
          </cell>
          <cell r="C403">
            <v>2175.3000000000002</v>
          </cell>
          <cell r="D403">
            <v>2156.5100000000002</v>
          </cell>
          <cell r="E403">
            <v>2168.27</v>
          </cell>
          <cell r="F403">
            <v>2168.27</v>
          </cell>
        </row>
        <row r="404">
          <cell r="A404">
            <v>42646</v>
          </cell>
          <cell r="B404">
            <v>2164.33</v>
          </cell>
          <cell r="C404">
            <v>2164.41</v>
          </cell>
          <cell r="D404">
            <v>2154.77</v>
          </cell>
          <cell r="E404">
            <v>2161.1999999999998</v>
          </cell>
          <cell r="F404">
            <v>2161.1999999999998</v>
          </cell>
        </row>
        <row r="405">
          <cell r="A405">
            <v>42647</v>
          </cell>
          <cell r="B405">
            <v>2163.37</v>
          </cell>
          <cell r="C405">
            <v>2165.46</v>
          </cell>
          <cell r="D405">
            <v>2144.0100000000002</v>
          </cell>
          <cell r="E405">
            <v>2150.4899999999998</v>
          </cell>
          <cell r="F405">
            <v>2150.4899999999998</v>
          </cell>
        </row>
        <row r="406">
          <cell r="A406">
            <v>42648</v>
          </cell>
          <cell r="B406">
            <v>2155.15</v>
          </cell>
          <cell r="C406">
            <v>2163.9499999999998</v>
          </cell>
          <cell r="D406">
            <v>2155.15</v>
          </cell>
          <cell r="E406">
            <v>2159.73</v>
          </cell>
          <cell r="F406">
            <v>2159.73</v>
          </cell>
        </row>
        <row r="407">
          <cell r="A407">
            <v>42649</v>
          </cell>
          <cell r="B407">
            <v>2158.2199999999998</v>
          </cell>
          <cell r="C407">
            <v>2162.9299999999998</v>
          </cell>
          <cell r="D407">
            <v>2150.2800000000002</v>
          </cell>
          <cell r="E407">
            <v>2160.77</v>
          </cell>
          <cell r="F407">
            <v>2160.77</v>
          </cell>
        </row>
        <row r="408">
          <cell r="A408">
            <v>42650</v>
          </cell>
          <cell r="B408">
            <v>2164.19</v>
          </cell>
          <cell r="C408">
            <v>2165.86</v>
          </cell>
          <cell r="D408">
            <v>2144.85</v>
          </cell>
          <cell r="E408">
            <v>2153.7399999999998</v>
          </cell>
          <cell r="F408">
            <v>2153.7399999999998</v>
          </cell>
        </row>
        <row r="409">
          <cell r="A409">
            <v>42653</v>
          </cell>
          <cell r="B409">
            <v>2160.39</v>
          </cell>
          <cell r="C409">
            <v>2169.6</v>
          </cell>
          <cell r="D409">
            <v>2160.39</v>
          </cell>
          <cell r="E409">
            <v>2163.66</v>
          </cell>
          <cell r="F409">
            <v>2163.66</v>
          </cell>
        </row>
        <row r="410">
          <cell r="A410">
            <v>42654</v>
          </cell>
          <cell r="B410">
            <v>2161.35</v>
          </cell>
          <cell r="C410">
            <v>2161.56</v>
          </cell>
          <cell r="D410">
            <v>2128.84</v>
          </cell>
          <cell r="E410">
            <v>2136.73</v>
          </cell>
          <cell r="F410">
            <v>2136.73</v>
          </cell>
        </row>
        <row r="411">
          <cell r="A411">
            <v>42655</v>
          </cell>
          <cell r="B411">
            <v>2137.67</v>
          </cell>
          <cell r="C411">
            <v>2145.36</v>
          </cell>
          <cell r="D411">
            <v>2132.77</v>
          </cell>
          <cell r="E411">
            <v>2139.1799999999998</v>
          </cell>
          <cell r="F411">
            <v>2139.1799999999998</v>
          </cell>
        </row>
        <row r="412">
          <cell r="A412">
            <v>42656</v>
          </cell>
          <cell r="B412">
            <v>2130.2600000000002</v>
          </cell>
          <cell r="C412">
            <v>2138.19</v>
          </cell>
          <cell r="D412">
            <v>2114.7199999999998</v>
          </cell>
          <cell r="E412">
            <v>2132.5500000000002</v>
          </cell>
          <cell r="F412">
            <v>2132.5500000000002</v>
          </cell>
        </row>
        <row r="413">
          <cell r="A413">
            <v>42657</v>
          </cell>
          <cell r="B413">
            <v>2139.6799999999998</v>
          </cell>
          <cell r="C413">
            <v>2149.19</v>
          </cell>
          <cell r="D413">
            <v>2132.98</v>
          </cell>
          <cell r="E413">
            <v>2132.98</v>
          </cell>
          <cell r="F413">
            <v>2132.98</v>
          </cell>
        </row>
        <row r="414">
          <cell r="A414">
            <v>42660</v>
          </cell>
          <cell r="B414">
            <v>2132.9499999999998</v>
          </cell>
          <cell r="C414">
            <v>2135.61</v>
          </cell>
          <cell r="D414">
            <v>2124.4299999999998</v>
          </cell>
          <cell r="E414">
            <v>2126.5</v>
          </cell>
          <cell r="F414">
            <v>2126.5</v>
          </cell>
        </row>
        <row r="415">
          <cell r="A415">
            <v>42661</v>
          </cell>
          <cell r="B415">
            <v>2138.31</v>
          </cell>
          <cell r="C415">
            <v>2144.38</v>
          </cell>
          <cell r="D415">
            <v>2135.4899999999998</v>
          </cell>
          <cell r="E415">
            <v>2139.6</v>
          </cell>
          <cell r="F415">
            <v>2139.6</v>
          </cell>
        </row>
        <row r="416">
          <cell r="A416">
            <v>42662</v>
          </cell>
          <cell r="B416">
            <v>2140.81</v>
          </cell>
          <cell r="C416">
            <v>2148.44</v>
          </cell>
          <cell r="D416">
            <v>2138.15</v>
          </cell>
          <cell r="E416">
            <v>2144.29</v>
          </cell>
          <cell r="F416">
            <v>2144.29</v>
          </cell>
        </row>
        <row r="417">
          <cell r="A417">
            <v>42663</v>
          </cell>
          <cell r="B417">
            <v>2142.5100000000002</v>
          </cell>
          <cell r="C417">
            <v>2147.1799999999998</v>
          </cell>
          <cell r="D417">
            <v>2133.44</v>
          </cell>
          <cell r="E417">
            <v>2141.34</v>
          </cell>
          <cell r="F417">
            <v>2141.34</v>
          </cell>
        </row>
        <row r="418">
          <cell r="A418">
            <v>42664</v>
          </cell>
          <cell r="B418">
            <v>2139.4299999999998</v>
          </cell>
          <cell r="C418">
            <v>2142.63</v>
          </cell>
          <cell r="D418">
            <v>2130.09</v>
          </cell>
          <cell r="E418">
            <v>2141.16</v>
          </cell>
          <cell r="F418">
            <v>2141.16</v>
          </cell>
        </row>
        <row r="419">
          <cell r="A419">
            <v>42667</v>
          </cell>
          <cell r="B419">
            <v>2148.5</v>
          </cell>
          <cell r="C419">
            <v>2154.79</v>
          </cell>
          <cell r="D419">
            <v>2146.91</v>
          </cell>
          <cell r="E419">
            <v>2151.33</v>
          </cell>
          <cell r="F419">
            <v>2151.33</v>
          </cell>
        </row>
        <row r="420">
          <cell r="A420">
            <v>42668</v>
          </cell>
          <cell r="B420">
            <v>2149.7199999999998</v>
          </cell>
          <cell r="C420">
            <v>2151.44</v>
          </cell>
          <cell r="D420">
            <v>2141.9299999999998</v>
          </cell>
          <cell r="E420">
            <v>2143.16</v>
          </cell>
          <cell r="F420">
            <v>2143.16</v>
          </cell>
        </row>
        <row r="421">
          <cell r="A421">
            <v>42669</v>
          </cell>
          <cell r="B421">
            <v>2136.9699999999998</v>
          </cell>
          <cell r="C421">
            <v>2145.73</v>
          </cell>
          <cell r="D421">
            <v>2131.59</v>
          </cell>
          <cell r="E421">
            <v>2139.4299999999998</v>
          </cell>
          <cell r="F421">
            <v>2139.4299999999998</v>
          </cell>
        </row>
        <row r="422">
          <cell r="A422">
            <v>42670</v>
          </cell>
          <cell r="B422">
            <v>2144.06</v>
          </cell>
          <cell r="C422">
            <v>2147.13</v>
          </cell>
          <cell r="D422">
            <v>2132.52</v>
          </cell>
          <cell r="E422">
            <v>2133.04</v>
          </cell>
          <cell r="F422">
            <v>2133.04</v>
          </cell>
        </row>
        <row r="423">
          <cell r="A423">
            <v>42671</v>
          </cell>
          <cell r="B423">
            <v>2132.23</v>
          </cell>
          <cell r="C423">
            <v>2140.7199999999998</v>
          </cell>
          <cell r="D423">
            <v>2119.36</v>
          </cell>
          <cell r="E423">
            <v>2126.41</v>
          </cell>
          <cell r="F423">
            <v>2126.41</v>
          </cell>
        </row>
        <row r="424">
          <cell r="A424">
            <v>42674</v>
          </cell>
          <cell r="B424">
            <v>2129.7800000000002</v>
          </cell>
          <cell r="C424">
            <v>2133.25</v>
          </cell>
          <cell r="D424">
            <v>2125.5300000000002</v>
          </cell>
          <cell r="E424">
            <v>2126.15</v>
          </cell>
          <cell r="F424">
            <v>2126.15</v>
          </cell>
        </row>
        <row r="425">
          <cell r="A425">
            <v>42675</v>
          </cell>
          <cell r="B425">
            <v>2128.6799999999998</v>
          </cell>
          <cell r="C425">
            <v>2131.4499999999998</v>
          </cell>
          <cell r="D425">
            <v>2097.85</v>
          </cell>
          <cell r="E425">
            <v>2111.7199999999998</v>
          </cell>
          <cell r="F425">
            <v>2111.7199999999998</v>
          </cell>
        </row>
        <row r="426">
          <cell r="A426">
            <v>42676</v>
          </cell>
          <cell r="B426">
            <v>2109.4299999999998</v>
          </cell>
          <cell r="C426">
            <v>2111.7600000000002</v>
          </cell>
          <cell r="D426">
            <v>2094</v>
          </cell>
          <cell r="E426">
            <v>2097.94</v>
          </cell>
          <cell r="F426">
            <v>2097.94</v>
          </cell>
        </row>
        <row r="427">
          <cell r="A427">
            <v>42677</v>
          </cell>
          <cell r="B427">
            <v>2098.8000000000002</v>
          </cell>
          <cell r="C427">
            <v>2102.56</v>
          </cell>
          <cell r="D427">
            <v>2085.23</v>
          </cell>
          <cell r="E427">
            <v>2088.66</v>
          </cell>
          <cell r="F427">
            <v>2088.66</v>
          </cell>
        </row>
        <row r="428">
          <cell r="A428">
            <v>42678</v>
          </cell>
          <cell r="B428">
            <v>2083.79</v>
          </cell>
          <cell r="C428">
            <v>2099.0700000000002</v>
          </cell>
          <cell r="D428">
            <v>2083.79</v>
          </cell>
          <cell r="E428">
            <v>2085.1799999999998</v>
          </cell>
          <cell r="F428">
            <v>2085.1799999999998</v>
          </cell>
        </row>
        <row r="429">
          <cell r="A429">
            <v>42681</v>
          </cell>
          <cell r="B429">
            <v>2100.59</v>
          </cell>
          <cell r="C429">
            <v>2132</v>
          </cell>
          <cell r="D429">
            <v>2100.59</v>
          </cell>
          <cell r="E429">
            <v>2131.52</v>
          </cell>
          <cell r="F429">
            <v>2131.52</v>
          </cell>
        </row>
        <row r="430">
          <cell r="A430">
            <v>42682</v>
          </cell>
          <cell r="B430">
            <v>2129.92</v>
          </cell>
          <cell r="C430">
            <v>2146.87</v>
          </cell>
          <cell r="D430">
            <v>2123.56</v>
          </cell>
          <cell r="E430">
            <v>2139.56</v>
          </cell>
          <cell r="F430">
            <v>2139.56</v>
          </cell>
        </row>
        <row r="431">
          <cell r="A431">
            <v>42683</v>
          </cell>
          <cell r="B431">
            <v>2131.56</v>
          </cell>
          <cell r="C431">
            <v>2170.1</v>
          </cell>
          <cell r="D431">
            <v>2125.35</v>
          </cell>
          <cell r="E431">
            <v>2163.2600000000002</v>
          </cell>
          <cell r="F431">
            <v>2163.2600000000002</v>
          </cell>
        </row>
        <row r="432">
          <cell r="A432">
            <v>42684</v>
          </cell>
          <cell r="B432">
            <v>2167.4899999999998</v>
          </cell>
          <cell r="C432">
            <v>2182.3000000000002</v>
          </cell>
          <cell r="D432">
            <v>2151.17</v>
          </cell>
          <cell r="E432">
            <v>2167.48</v>
          </cell>
          <cell r="F432">
            <v>2167.48</v>
          </cell>
        </row>
        <row r="433">
          <cell r="A433">
            <v>42685</v>
          </cell>
          <cell r="B433">
            <v>2162.71</v>
          </cell>
          <cell r="C433">
            <v>2165.92</v>
          </cell>
          <cell r="D433">
            <v>2152.4899999999998</v>
          </cell>
          <cell r="E433">
            <v>2164.4499999999998</v>
          </cell>
          <cell r="F433">
            <v>2164.4499999999998</v>
          </cell>
        </row>
        <row r="434">
          <cell r="A434">
            <v>42688</v>
          </cell>
          <cell r="B434">
            <v>2165.64</v>
          </cell>
          <cell r="C434">
            <v>2171.36</v>
          </cell>
          <cell r="D434">
            <v>2156.08</v>
          </cell>
          <cell r="E434">
            <v>2164.1999999999998</v>
          </cell>
          <cell r="F434">
            <v>2164.1999999999998</v>
          </cell>
        </row>
        <row r="435">
          <cell r="A435">
            <v>42689</v>
          </cell>
          <cell r="B435">
            <v>2168.29</v>
          </cell>
          <cell r="C435">
            <v>2180.84</v>
          </cell>
          <cell r="D435">
            <v>2166.38</v>
          </cell>
          <cell r="E435">
            <v>2180.39</v>
          </cell>
          <cell r="F435">
            <v>2180.39</v>
          </cell>
        </row>
        <row r="436">
          <cell r="A436">
            <v>42690</v>
          </cell>
          <cell r="B436">
            <v>2177.5300000000002</v>
          </cell>
          <cell r="C436">
            <v>2179.2199999999998</v>
          </cell>
          <cell r="D436">
            <v>2172.1999999999998</v>
          </cell>
          <cell r="E436">
            <v>2176.94</v>
          </cell>
          <cell r="F436">
            <v>2176.94</v>
          </cell>
        </row>
        <row r="437">
          <cell r="A437">
            <v>42691</v>
          </cell>
          <cell r="B437">
            <v>2178.61</v>
          </cell>
          <cell r="C437">
            <v>2188.06</v>
          </cell>
          <cell r="D437">
            <v>2176.65</v>
          </cell>
          <cell r="E437">
            <v>2187.12</v>
          </cell>
          <cell r="F437">
            <v>2187.12</v>
          </cell>
        </row>
        <row r="438">
          <cell r="A438">
            <v>42692</v>
          </cell>
          <cell r="B438">
            <v>2186.85</v>
          </cell>
          <cell r="C438">
            <v>2189.89</v>
          </cell>
          <cell r="D438">
            <v>2180.38</v>
          </cell>
          <cell r="E438">
            <v>2181.9</v>
          </cell>
          <cell r="F438">
            <v>2181.9</v>
          </cell>
        </row>
        <row r="439">
          <cell r="A439">
            <v>42695</v>
          </cell>
          <cell r="B439">
            <v>2186.4299999999998</v>
          </cell>
          <cell r="C439">
            <v>2198.6999999999998</v>
          </cell>
          <cell r="D439">
            <v>2186.4299999999998</v>
          </cell>
          <cell r="E439">
            <v>2198.1799999999998</v>
          </cell>
          <cell r="F439">
            <v>2198.1799999999998</v>
          </cell>
        </row>
        <row r="440">
          <cell r="A440">
            <v>42696</v>
          </cell>
          <cell r="B440">
            <v>2201.56</v>
          </cell>
          <cell r="C440">
            <v>2204.8000000000002</v>
          </cell>
          <cell r="D440">
            <v>2194.5100000000002</v>
          </cell>
          <cell r="E440">
            <v>2202.94</v>
          </cell>
          <cell r="F440">
            <v>2202.94</v>
          </cell>
        </row>
        <row r="441">
          <cell r="A441">
            <v>42697</v>
          </cell>
          <cell r="B441">
            <v>2198.5500000000002</v>
          </cell>
          <cell r="C441">
            <v>2204.7199999999998</v>
          </cell>
          <cell r="D441">
            <v>2194.5100000000002</v>
          </cell>
          <cell r="E441">
            <v>2204.7199999999998</v>
          </cell>
          <cell r="F441">
            <v>2204.7199999999998</v>
          </cell>
        </row>
        <row r="442">
          <cell r="A442">
            <v>42699</v>
          </cell>
          <cell r="B442">
            <v>2206.27</v>
          </cell>
          <cell r="C442">
            <v>2213.35</v>
          </cell>
          <cell r="D442">
            <v>2206.27</v>
          </cell>
          <cell r="E442">
            <v>2213.35</v>
          </cell>
          <cell r="F442">
            <v>2213.35</v>
          </cell>
        </row>
        <row r="443">
          <cell r="A443">
            <v>42702</v>
          </cell>
          <cell r="B443">
            <v>2210.21</v>
          </cell>
          <cell r="C443">
            <v>2211.14</v>
          </cell>
          <cell r="D443">
            <v>2200.36</v>
          </cell>
          <cell r="E443">
            <v>2201.7199999999998</v>
          </cell>
          <cell r="F443">
            <v>2201.7199999999998</v>
          </cell>
        </row>
        <row r="444">
          <cell r="A444">
            <v>42703</v>
          </cell>
          <cell r="B444">
            <v>2200.7600000000002</v>
          </cell>
          <cell r="C444">
            <v>2210.46</v>
          </cell>
          <cell r="D444">
            <v>2198.15</v>
          </cell>
          <cell r="E444">
            <v>2204.66</v>
          </cell>
          <cell r="F444">
            <v>2204.66</v>
          </cell>
        </row>
        <row r="445">
          <cell r="A445">
            <v>42704</v>
          </cell>
          <cell r="B445">
            <v>2204.9699999999998</v>
          </cell>
          <cell r="C445">
            <v>2214.1</v>
          </cell>
          <cell r="D445">
            <v>2198.81</v>
          </cell>
          <cell r="E445">
            <v>2198.81</v>
          </cell>
          <cell r="F445">
            <v>2198.81</v>
          </cell>
        </row>
        <row r="446">
          <cell r="A446">
            <v>42705</v>
          </cell>
          <cell r="B446">
            <v>2200.17</v>
          </cell>
          <cell r="C446">
            <v>2202.6</v>
          </cell>
          <cell r="D446">
            <v>2187.44</v>
          </cell>
          <cell r="E446">
            <v>2191.08</v>
          </cell>
          <cell r="F446">
            <v>2191.08</v>
          </cell>
        </row>
        <row r="447">
          <cell r="A447">
            <v>42706</v>
          </cell>
          <cell r="B447">
            <v>2191.12</v>
          </cell>
          <cell r="C447">
            <v>2197.9499999999998</v>
          </cell>
          <cell r="D447">
            <v>2188.37</v>
          </cell>
          <cell r="E447">
            <v>2191.9499999999998</v>
          </cell>
          <cell r="F447">
            <v>2191.9499999999998</v>
          </cell>
        </row>
        <row r="448">
          <cell r="A448">
            <v>42709</v>
          </cell>
          <cell r="B448">
            <v>2200.65</v>
          </cell>
          <cell r="C448">
            <v>2209.42</v>
          </cell>
          <cell r="D448">
            <v>2199.9699999999998</v>
          </cell>
          <cell r="E448">
            <v>2204.71</v>
          </cell>
          <cell r="F448">
            <v>2204.71</v>
          </cell>
        </row>
        <row r="449">
          <cell r="A449">
            <v>42710</v>
          </cell>
          <cell r="B449">
            <v>2207.2600000000002</v>
          </cell>
          <cell r="C449">
            <v>2212.7800000000002</v>
          </cell>
          <cell r="D449">
            <v>2202.21</v>
          </cell>
          <cell r="E449">
            <v>2212.23</v>
          </cell>
          <cell r="F449">
            <v>2212.23</v>
          </cell>
        </row>
        <row r="450">
          <cell r="A450">
            <v>42711</v>
          </cell>
          <cell r="B450">
            <v>2210.7199999999998</v>
          </cell>
          <cell r="C450">
            <v>2241.63</v>
          </cell>
          <cell r="D450">
            <v>2208.9299999999998</v>
          </cell>
          <cell r="E450">
            <v>2241.35</v>
          </cell>
          <cell r="F450">
            <v>2241.35</v>
          </cell>
        </row>
        <row r="451">
          <cell r="A451">
            <v>42712</v>
          </cell>
          <cell r="B451">
            <v>2241.13</v>
          </cell>
          <cell r="C451">
            <v>2251.69</v>
          </cell>
          <cell r="D451">
            <v>2237.5700000000002</v>
          </cell>
          <cell r="E451">
            <v>2246.19</v>
          </cell>
          <cell r="F451">
            <v>2246.19</v>
          </cell>
        </row>
        <row r="452">
          <cell r="A452">
            <v>42713</v>
          </cell>
          <cell r="B452">
            <v>2249.73</v>
          </cell>
          <cell r="C452">
            <v>2259.8000000000002</v>
          </cell>
          <cell r="D452">
            <v>2249.23</v>
          </cell>
          <cell r="E452">
            <v>2259.5300000000002</v>
          </cell>
          <cell r="F452">
            <v>2259.5300000000002</v>
          </cell>
        </row>
        <row r="453">
          <cell r="A453">
            <v>42716</v>
          </cell>
          <cell r="B453">
            <v>2258.83</v>
          </cell>
          <cell r="C453">
            <v>2264.0300000000002</v>
          </cell>
          <cell r="D453">
            <v>2252.37</v>
          </cell>
          <cell r="E453">
            <v>2256.96</v>
          </cell>
          <cell r="F453">
            <v>2256.96</v>
          </cell>
        </row>
        <row r="454">
          <cell r="A454">
            <v>42717</v>
          </cell>
          <cell r="B454">
            <v>2263.3200000000002</v>
          </cell>
          <cell r="C454">
            <v>2277.5300000000002</v>
          </cell>
          <cell r="D454">
            <v>2263.3200000000002</v>
          </cell>
          <cell r="E454">
            <v>2271.7199999999998</v>
          </cell>
          <cell r="F454">
            <v>2271.7199999999998</v>
          </cell>
        </row>
        <row r="455">
          <cell r="A455">
            <v>42718</v>
          </cell>
          <cell r="B455">
            <v>2268.35</v>
          </cell>
          <cell r="C455">
            <v>2276.1999999999998</v>
          </cell>
          <cell r="D455">
            <v>2248.44</v>
          </cell>
          <cell r="E455">
            <v>2253.2800000000002</v>
          </cell>
          <cell r="F455">
            <v>2253.2800000000002</v>
          </cell>
        </row>
        <row r="456">
          <cell r="A456">
            <v>42719</v>
          </cell>
          <cell r="B456">
            <v>2253.77</v>
          </cell>
          <cell r="C456">
            <v>2272.12</v>
          </cell>
          <cell r="D456">
            <v>2253.77</v>
          </cell>
          <cell r="E456">
            <v>2262.0300000000002</v>
          </cell>
          <cell r="F456">
            <v>2262.0300000000002</v>
          </cell>
        </row>
        <row r="457">
          <cell r="A457">
            <v>42720</v>
          </cell>
          <cell r="B457">
            <v>2266.81</v>
          </cell>
          <cell r="C457">
            <v>2268.0500000000002</v>
          </cell>
          <cell r="D457">
            <v>2254.2399999999998</v>
          </cell>
          <cell r="E457">
            <v>2258.0700000000002</v>
          </cell>
          <cell r="F457">
            <v>2258.0700000000002</v>
          </cell>
        </row>
        <row r="458">
          <cell r="A458">
            <v>42723</v>
          </cell>
          <cell r="B458">
            <v>2259.2399999999998</v>
          </cell>
          <cell r="C458">
            <v>2267.4699999999998</v>
          </cell>
          <cell r="D458">
            <v>2258.21</v>
          </cell>
          <cell r="E458">
            <v>2262.5300000000002</v>
          </cell>
          <cell r="F458">
            <v>2262.5300000000002</v>
          </cell>
        </row>
        <row r="459">
          <cell r="A459">
            <v>42724</v>
          </cell>
          <cell r="B459">
            <v>2266.5</v>
          </cell>
          <cell r="C459">
            <v>2272.56</v>
          </cell>
          <cell r="D459">
            <v>2266.14</v>
          </cell>
          <cell r="E459">
            <v>2270.7600000000002</v>
          </cell>
          <cell r="F459">
            <v>2270.7600000000002</v>
          </cell>
        </row>
        <row r="460">
          <cell r="A460">
            <v>42725</v>
          </cell>
          <cell r="B460">
            <v>2270.54</v>
          </cell>
          <cell r="C460">
            <v>2271.23</v>
          </cell>
          <cell r="D460">
            <v>2265.15</v>
          </cell>
          <cell r="E460">
            <v>2265.1799999999998</v>
          </cell>
          <cell r="F460">
            <v>2265.1799999999998</v>
          </cell>
        </row>
        <row r="461">
          <cell r="A461">
            <v>42726</v>
          </cell>
          <cell r="B461">
            <v>2262.9299999999998</v>
          </cell>
          <cell r="C461">
            <v>2263.1799999999998</v>
          </cell>
          <cell r="D461">
            <v>2256.08</v>
          </cell>
          <cell r="E461">
            <v>2260.96</v>
          </cell>
          <cell r="F461">
            <v>2260.96</v>
          </cell>
        </row>
        <row r="462">
          <cell r="A462">
            <v>42727</v>
          </cell>
          <cell r="B462">
            <v>2260.25</v>
          </cell>
          <cell r="C462">
            <v>2263.79</v>
          </cell>
          <cell r="D462">
            <v>2258.84</v>
          </cell>
          <cell r="E462">
            <v>2263.79</v>
          </cell>
          <cell r="F462">
            <v>2263.79</v>
          </cell>
        </row>
        <row r="463">
          <cell r="A463">
            <v>42731</v>
          </cell>
          <cell r="B463">
            <v>2266.23</v>
          </cell>
          <cell r="C463">
            <v>2273.8200000000002</v>
          </cell>
          <cell r="D463">
            <v>2266.15</v>
          </cell>
          <cell r="E463">
            <v>2268.88</v>
          </cell>
          <cell r="F463">
            <v>2268.88</v>
          </cell>
        </row>
        <row r="464">
          <cell r="A464">
            <v>42732</v>
          </cell>
          <cell r="B464">
            <v>2270.23</v>
          </cell>
          <cell r="C464">
            <v>2271.31</v>
          </cell>
          <cell r="D464">
            <v>2249.11</v>
          </cell>
          <cell r="E464">
            <v>2249.92</v>
          </cell>
          <cell r="F464">
            <v>2249.92</v>
          </cell>
        </row>
        <row r="465">
          <cell r="A465">
            <v>42733</v>
          </cell>
          <cell r="B465">
            <v>2249.5</v>
          </cell>
          <cell r="C465">
            <v>2254.5100000000002</v>
          </cell>
          <cell r="D465">
            <v>2244.56</v>
          </cell>
          <cell r="E465">
            <v>2249.2600000000002</v>
          </cell>
          <cell r="F465">
            <v>2249.2600000000002</v>
          </cell>
        </row>
        <row r="466">
          <cell r="A466">
            <v>42734</v>
          </cell>
          <cell r="B466">
            <v>2251.61</v>
          </cell>
          <cell r="C466">
            <v>2253.58</v>
          </cell>
          <cell r="D466">
            <v>2233.62</v>
          </cell>
          <cell r="E466">
            <v>2238.83</v>
          </cell>
          <cell r="F466">
            <v>2238.83</v>
          </cell>
        </row>
        <row r="467">
          <cell r="A467">
            <v>42738</v>
          </cell>
          <cell r="B467">
            <v>2251.5700000000002</v>
          </cell>
          <cell r="C467">
            <v>2263.88</v>
          </cell>
          <cell r="D467">
            <v>2245.13</v>
          </cell>
          <cell r="E467">
            <v>2257.83</v>
          </cell>
          <cell r="F467">
            <v>2257.83</v>
          </cell>
        </row>
        <row r="468">
          <cell r="A468">
            <v>42739</v>
          </cell>
          <cell r="B468">
            <v>2261.6</v>
          </cell>
          <cell r="C468">
            <v>2272.8200000000002</v>
          </cell>
          <cell r="D468">
            <v>2261.6</v>
          </cell>
          <cell r="E468">
            <v>2270.75</v>
          </cell>
          <cell r="F468">
            <v>2270.75</v>
          </cell>
        </row>
        <row r="469">
          <cell r="A469">
            <v>42740</v>
          </cell>
          <cell r="B469">
            <v>2268.1799999999998</v>
          </cell>
          <cell r="C469">
            <v>2271.5</v>
          </cell>
          <cell r="D469">
            <v>2260.4499999999998</v>
          </cell>
          <cell r="E469">
            <v>2269</v>
          </cell>
          <cell r="F469">
            <v>2269</v>
          </cell>
        </row>
        <row r="470">
          <cell r="A470">
            <v>42741</v>
          </cell>
          <cell r="B470">
            <v>2271.14</v>
          </cell>
          <cell r="C470">
            <v>2282.1</v>
          </cell>
          <cell r="D470">
            <v>2264.06</v>
          </cell>
          <cell r="E470">
            <v>2276.98</v>
          </cell>
          <cell r="F470">
            <v>2276.98</v>
          </cell>
        </row>
        <row r="471">
          <cell r="A471">
            <v>42744</v>
          </cell>
          <cell r="B471">
            <v>2273.59</v>
          </cell>
          <cell r="C471">
            <v>2275.4899999999998</v>
          </cell>
          <cell r="D471">
            <v>2268.9</v>
          </cell>
          <cell r="E471">
            <v>2268.9</v>
          </cell>
          <cell r="F471">
            <v>2268.9</v>
          </cell>
        </row>
        <row r="472">
          <cell r="A472">
            <v>42745</v>
          </cell>
          <cell r="B472">
            <v>2269.7199999999998</v>
          </cell>
          <cell r="C472">
            <v>2279.27</v>
          </cell>
          <cell r="D472">
            <v>2265.27</v>
          </cell>
          <cell r="E472">
            <v>2268.9</v>
          </cell>
          <cell r="F472">
            <v>2268.9</v>
          </cell>
        </row>
        <row r="473">
          <cell r="A473">
            <v>42746</v>
          </cell>
          <cell r="B473">
            <v>2268.6</v>
          </cell>
          <cell r="C473">
            <v>2275.3200000000002</v>
          </cell>
          <cell r="D473">
            <v>2260.83</v>
          </cell>
          <cell r="E473">
            <v>2275.3200000000002</v>
          </cell>
          <cell r="F473">
            <v>2275.3200000000002</v>
          </cell>
        </row>
        <row r="474">
          <cell r="A474">
            <v>42747</v>
          </cell>
          <cell r="B474">
            <v>2271.14</v>
          </cell>
          <cell r="C474">
            <v>2271.7800000000002</v>
          </cell>
          <cell r="D474">
            <v>2254.25</v>
          </cell>
          <cell r="E474">
            <v>2270.44</v>
          </cell>
          <cell r="F474">
            <v>2270.44</v>
          </cell>
        </row>
        <row r="475">
          <cell r="A475">
            <v>42748</v>
          </cell>
          <cell r="B475">
            <v>2272.7399999999998</v>
          </cell>
          <cell r="C475">
            <v>2278.6799999999998</v>
          </cell>
          <cell r="D475">
            <v>2271.5100000000002</v>
          </cell>
          <cell r="E475">
            <v>2274.64</v>
          </cell>
          <cell r="F475">
            <v>2274.64</v>
          </cell>
        </row>
        <row r="476">
          <cell r="A476">
            <v>42752</v>
          </cell>
          <cell r="B476">
            <v>2269.14</v>
          </cell>
          <cell r="C476">
            <v>2272.08</v>
          </cell>
          <cell r="D476">
            <v>2262.81</v>
          </cell>
          <cell r="E476">
            <v>2267.89</v>
          </cell>
          <cell r="F476">
            <v>2267.89</v>
          </cell>
        </row>
        <row r="477">
          <cell r="A477">
            <v>42753</v>
          </cell>
          <cell r="B477">
            <v>2269.14</v>
          </cell>
          <cell r="C477">
            <v>2272.0100000000002</v>
          </cell>
          <cell r="D477">
            <v>2263.35</v>
          </cell>
          <cell r="E477">
            <v>2271.89</v>
          </cell>
          <cell r="F477">
            <v>2271.89</v>
          </cell>
        </row>
        <row r="478">
          <cell r="A478">
            <v>42754</v>
          </cell>
          <cell r="B478">
            <v>2271.9</v>
          </cell>
          <cell r="C478">
            <v>2274.33</v>
          </cell>
          <cell r="D478">
            <v>2258.41</v>
          </cell>
          <cell r="E478">
            <v>2263.69</v>
          </cell>
          <cell r="F478">
            <v>2263.69</v>
          </cell>
        </row>
        <row r="479">
          <cell r="A479">
            <v>42755</v>
          </cell>
          <cell r="B479">
            <v>2269.96</v>
          </cell>
          <cell r="C479">
            <v>2276.96</v>
          </cell>
          <cell r="D479">
            <v>2265.0100000000002</v>
          </cell>
          <cell r="E479">
            <v>2271.31</v>
          </cell>
          <cell r="F479">
            <v>2271.31</v>
          </cell>
        </row>
        <row r="480">
          <cell r="A480">
            <v>42758</v>
          </cell>
          <cell r="B480">
            <v>2267.7800000000002</v>
          </cell>
          <cell r="C480">
            <v>2271.7800000000002</v>
          </cell>
          <cell r="D480">
            <v>2257.02</v>
          </cell>
          <cell r="E480">
            <v>2265.1999999999998</v>
          </cell>
          <cell r="F480">
            <v>2265.1999999999998</v>
          </cell>
        </row>
        <row r="481">
          <cell r="A481">
            <v>42759</v>
          </cell>
          <cell r="B481">
            <v>2267.88</v>
          </cell>
          <cell r="C481">
            <v>2284.63</v>
          </cell>
          <cell r="D481">
            <v>2266.6799999999998</v>
          </cell>
          <cell r="E481">
            <v>2280.0700000000002</v>
          </cell>
          <cell r="F481">
            <v>2280.0700000000002</v>
          </cell>
        </row>
        <row r="482">
          <cell r="A482">
            <v>42760</v>
          </cell>
          <cell r="B482">
            <v>2288.88</v>
          </cell>
          <cell r="C482">
            <v>2299.5500000000002</v>
          </cell>
          <cell r="D482">
            <v>2288.88</v>
          </cell>
          <cell r="E482">
            <v>2298.37</v>
          </cell>
          <cell r="F482">
            <v>2298.37</v>
          </cell>
        </row>
        <row r="483">
          <cell r="A483">
            <v>42761</v>
          </cell>
          <cell r="B483">
            <v>2298.63</v>
          </cell>
          <cell r="C483">
            <v>2300.9899999999998</v>
          </cell>
          <cell r="D483">
            <v>2294.08</v>
          </cell>
          <cell r="E483">
            <v>2296.6799999999998</v>
          </cell>
          <cell r="F483">
            <v>2296.6799999999998</v>
          </cell>
        </row>
        <row r="484">
          <cell r="A484">
            <v>42762</v>
          </cell>
          <cell r="B484">
            <v>2299.02</v>
          </cell>
          <cell r="C484">
            <v>2299.02</v>
          </cell>
          <cell r="D484">
            <v>2291.62</v>
          </cell>
          <cell r="E484">
            <v>2294.69</v>
          </cell>
          <cell r="F484">
            <v>2294.69</v>
          </cell>
        </row>
        <row r="485">
          <cell r="A485">
            <v>42765</v>
          </cell>
          <cell r="B485">
            <v>2286.0100000000002</v>
          </cell>
          <cell r="C485">
            <v>2286.0100000000002</v>
          </cell>
          <cell r="D485">
            <v>2268.04</v>
          </cell>
          <cell r="E485">
            <v>2280.9</v>
          </cell>
          <cell r="F485">
            <v>2280.9</v>
          </cell>
        </row>
        <row r="486">
          <cell r="A486">
            <v>42766</v>
          </cell>
          <cell r="B486">
            <v>2274.02</v>
          </cell>
          <cell r="C486">
            <v>2279.09</v>
          </cell>
          <cell r="D486">
            <v>2267.21</v>
          </cell>
          <cell r="E486">
            <v>2278.87</v>
          </cell>
          <cell r="F486">
            <v>2278.87</v>
          </cell>
        </row>
        <row r="487">
          <cell r="A487">
            <v>42767</v>
          </cell>
          <cell r="B487">
            <v>2285.59</v>
          </cell>
          <cell r="C487">
            <v>2289.14</v>
          </cell>
          <cell r="D487">
            <v>2272.44</v>
          </cell>
          <cell r="E487">
            <v>2279.5500000000002</v>
          </cell>
          <cell r="F487">
            <v>2279.5500000000002</v>
          </cell>
        </row>
        <row r="488">
          <cell r="A488">
            <v>42768</v>
          </cell>
          <cell r="B488">
            <v>2276.69</v>
          </cell>
          <cell r="C488">
            <v>2283.9699999999998</v>
          </cell>
          <cell r="D488">
            <v>2271.65</v>
          </cell>
          <cell r="E488">
            <v>2280.85</v>
          </cell>
          <cell r="F488">
            <v>2280.85</v>
          </cell>
        </row>
        <row r="489">
          <cell r="A489">
            <v>42769</v>
          </cell>
          <cell r="B489">
            <v>2288.54</v>
          </cell>
          <cell r="C489">
            <v>2298.31</v>
          </cell>
          <cell r="D489">
            <v>2287.88</v>
          </cell>
          <cell r="E489">
            <v>2297.42</v>
          </cell>
          <cell r="F489">
            <v>2297.42</v>
          </cell>
        </row>
        <row r="490">
          <cell r="A490">
            <v>42772</v>
          </cell>
          <cell r="B490">
            <v>2294.2800000000002</v>
          </cell>
          <cell r="C490">
            <v>2296.1799999999998</v>
          </cell>
          <cell r="D490">
            <v>2288.5700000000002</v>
          </cell>
          <cell r="E490">
            <v>2292.56</v>
          </cell>
          <cell r="F490">
            <v>2292.56</v>
          </cell>
        </row>
        <row r="491">
          <cell r="A491">
            <v>42773</v>
          </cell>
          <cell r="B491">
            <v>2295.87</v>
          </cell>
          <cell r="C491">
            <v>2299.4</v>
          </cell>
          <cell r="D491">
            <v>2290.16</v>
          </cell>
          <cell r="E491">
            <v>2293.08</v>
          </cell>
          <cell r="F491">
            <v>2293.08</v>
          </cell>
        </row>
        <row r="492">
          <cell r="A492">
            <v>42774</v>
          </cell>
          <cell r="B492">
            <v>2289.5500000000002</v>
          </cell>
          <cell r="C492">
            <v>2295.91</v>
          </cell>
          <cell r="D492">
            <v>2285.38</v>
          </cell>
          <cell r="E492">
            <v>2294.67</v>
          </cell>
          <cell r="F492">
            <v>2294.67</v>
          </cell>
        </row>
        <row r="493">
          <cell r="A493">
            <v>42775</v>
          </cell>
          <cell r="B493">
            <v>2296.6999999999998</v>
          </cell>
          <cell r="C493">
            <v>2311.08</v>
          </cell>
          <cell r="D493">
            <v>2296.61</v>
          </cell>
          <cell r="E493">
            <v>2307.87</v>
          </cell>
          <cell r="F493">
            <v>2307.87</v>
          </cell>
        </row>
        <row r="494">
          <cell r="A494">
            <v>42776</v>
          </cell>
          <cell r="B494">
            <v>2312.27</v>
          </cell>
          <cell r="C494">
            <v>2319.23</v>
          </cell>
          <cell r="D494">
            <v>2311.1</v>
          </cell>
          <cell r="E494">
            <v>2316.1</v>
          </cell>
          <cell r="F494">
            <v>2316.1</v>
          </cell>
        </row>
        <row r="495">
          <cell r="A495">
            <v>42779</v>
          </cell>
          <cell r="B495">
            <v>2321.7199999999998</v>
          </cell>
          <cell r="C495">
            <v>2331.58</v>
          </cell>
          <cell r="D495">
            <v>2321.42</v>
          </cell>
          <cell r="E495">
            <v>2328.25</v>
          </cell>
          <cell r="F495">
            <v>2328.25</v>
          </cell>
        </row>
        <row r="496">
          <cell r="A496">
            <v>42780</v>
          </cell>
          <cell r="B496">
            <v>2326.12</v>
          </cell>
          <cell r="C496">
            <v>2337.58</v>
          </cell>
          <cell r="D496">
            <v>2322.17</v>
          </cell>
          <cell r="E496">
            <v>2337.58</v>
          </cell>
          <cell r="F496">
            <v>2337.58</v>
          </cell>
        </row>
        <row r="497">
          <cell r="A497">
            <v>42781</v>
          </cell>
          <cell r="B497">
            <v>2335.58</v>
          </cell>
          <cell r="C497">
            <v>2351.3000000000002</v>
          </cell>
          <cell r="D497">
            <v>2334.81</v>
          </cell>
          <cell r="E497">
            <v>2349.25</v>
          </cell>
          <cell r="F497">
            <v>2349.25</v>
          </cell>
        </row>
        <row r="498">
          <cell r="A498">
            <v>42782</v>
          </cell>
          <cell r="B498">
            <v>2349.64</v>
          </cell>
          <cell r="C498">
            <v>2351.31</v>
          </cell>
          <cell r="D498">
            <v>2338.87</v>
          </cell>
          <cell r="E498">
            <v>2347.2199999999998</v>
          </cell>
          <cell r="F498">
            <v>2347.2199999999998</v>
          </cell>
        </row>
        <row r="499">
          <cell r="A499">
            <v>42783</v>
          </cell>
          <cell r="B499">
            <v>2343.0100000000002</v>
          </cell>
          <cell r="C499">
            <v>2351.16</v>
          </cell>
          <cell r="D499">
            <v>2339.58</v>
          </cell>
          <cell r="E499">
            <v>2351.16</v>
          </cell>
          <cell r="F499">
            <v>2351.16</v>
          </cell>
        </row>
        <row r="500">
          <cell r="A500">
            <v>42787</v>
          </cell>
          <cell r="B500">
            <v>2354.91</v>
          </cell>
          <cell r="C500">
            <v>2366.71</v>
          </cell>
          <cell r="D500">
            <v>2354.91</v>
          </cell>
          <cell r="E500">
            <v>2365.38</v>
          </cell>
          <cell r="F500">
            <v>2365.38</v>
          </cell>
        </row>
        <row r="501">
          <cell r="A501">
            <v>42788</v>
          </cell>
          <cell r="B501">
            <v>2361.11</v>
          </cell>
          <cell r="C501">
            <v>2365.13</v>
          </cell>
          <cell r="D501">
            <v>2358.34</v>
          </cell>
          <cell r="E501">
            <v>2362.8200000000002</v>
          </cell>
          <cell r="F501">
            <v>2362.8200000000002</v>
          </cell>
        </row>
        <row r="502">
          <cell r="A502">
            <v>42789</v>
          </cell>
          <cell r="B502">
            <v>2367.5</v>
          </cell>
          <cell r="C502">
            <v>2368.2600000000002</v>
          </cell>
          <cell r="D502">
            <v>2355.09</v>
          </cell>
          <cell r="E502">
            <v>2363.81</v>
          </cell>
          <cell r="F502">
            <v>2363.81</v>
          </cell>
        </row>
        <row r="503">
          <cell r="A503">
            <v>42790</v>
          </cell>
          <cell r="B503">
            <v>2355.73</v>
          </cell>
          <cell r="C503">
            <v>2367.34</v>
          </cell>
          <cell r="D503">
            <v>2352.87</v>
          </cell>
          <cell r="E503">
            <v>2367.34</v>
          </cell>
          <cell r="F503">
            <v>2367.34</v>
          </cell>
        </row>
        <row r="504">
          <cell r="A504">
            <v>42793</v>
          </cell>
          <cell r="B504">
            <v>2365.23</v>
          </cell>
          <cell r="C504">
            <v>2371.54</v>
          </cell>
          <cell r="D504">
            <v>2361.87</v>
          </cell>
          <cell r="E504">
            <v>2369.75</v>
          </cell>
          <cell r="F504">
            <v>2369.75</v>
          </cell>
        </row>
        <row r="505">
          <cell r="A505">
            <v>42794</v>
          </cell>
          <cell r="B505">
            <v>2366.08</v>
          </cell>
          <cell r="C505">
            <v>2367.79</v>
          </cell>
          <cell r="D505">
            <v>2358.96</v>
          </cell>
          <cell r="E505">
            <v>2363.64</v>
          </cell>
          <cell r="F505">
            <v>2363.64</v>
          </cell>
        </row>
        <row r="506">
          <cell r="A506">
            <v>42795</v>
          </cell>
          <cell r="B506">
            <v>2380.13</v>
          </cell>
          <cell r="C506">
            <v>2400.98</v>
          </cell>
          <cell r="D506">
            <v>2380.13</v>
          </cell>
          <cell r="E506">
            <v>2395.96</v>
          </cell>
          <cell r="F506">
            <v>2395.96</v>
          </cell>
        </row>
        <row r="507">
          <cell r="A507">
            <v>42796</v>
          </cell>
          <cell r="B507">
            <v>2394.75</v>
          </cell>
          <cell r="C507">
            <v>2394.75</v>
          </cell>
          <cell r="D507">
            <v>2380.17</v>
          </cell>
          <cell r="E507">
            <v>2381.92</v>
          </cell>
          <cell r="F507">
            <v>2381.92</v>
          </cell>
        </row>
        <row r="508">
          <cell r="A508">
            <v>42797</v>
          </cell>
          <cell r="B508">
            <v>2380.92</v>
          </cell>
          <cell r="C508">
            <v>2383.89</v>
          </cell>
          <cell r="D508">
            <v>2375.39</v>
          </cell>
          <cell r="E508">
            <v>2383.12</v>
          </cell>
          <cell r="F508">
            <v>2383.12</v>
          </cell>
        </row>
        <row r="509">
          <cell r="A509">
            <v>42800</v>
          </cell>
          <cell r="B509">
            <v>2375.23</v>
          </cell>
          <cell r="C509">
            <v>2378.8000000000002</v>
          </cell>
          <cell r="D509">
            <v>2367.98</v>
          </cell>
          <cell r="E509">
            <v>2375.31</v>
          </cell>
          <cell r="F509">
            <v>2375.31</v>
          </cell>
        </row>
        <row r="510">
          <cell r="A510">
            <v>42801</v>
          </cell>
          <cell r="B510">
            <v>2370.7399999999998</v>
          </cell>
          <cell r="C510">
            <v>2375.12</v>
          </cell>
          <cell r="D510">
            <v>2365.5100000000002</v>
          </cell>
          <cell r="E510">
            <v>2368.39</v>
          </cell>
          <cell r="F510">
            <v>2368.39</v>
          </cell>
        </row>
        <row r="511">
          <cell r="A511">
            <v>42802</v>
          </cell>
          <cell r="B511">
            <v>2369.81</v>
          </cell>
          <cell r="C511">
            <v>2373.09</v>
          </cell>
          <cell r="D511">
            <v>2361.0100000000002</v>
          </cell>
          <cell r="E511">
            <v>2362.98</v>
          </cell>
          <cell r="F511">
            <v>2362.98</v>
          </cell>
        </row>
        <row r="512">
          <cell r="A512">
            <v>42803</v>
          </cell>
          <cell r="B512">
            <v>2363.4899999999998</v>
          </cell>
          <cell r="C512">
            <v>2369.08</v>
          </cell>
          <cell r="D512">
            <v>2354.54</v>
          </cell>
          <cell r="E512">
            <v>2364.87</v>
          </cell>
          <cell r="F512">
            <v>2364.87</v>
          </cell>
        </row>
        <row r="513">
          <cell r="A513">
            <v>42804</v>
          </cell>
          <cell r="B513">
            <v>2372.52</v>
          </cell>
          <cell r="C513">
            <v>2376.86</v>
          </cell>
          <cell r="D513">
            <v>2363.04</v>
          </cell>
          <cell r="E513">
            <v>2372.6</v>
          </cell>
          <cell r="F513">
            <v>2372.6</v>
          </cell>
        </row>
        <row r="514">
          <cell r="A514">
            <v>42807</v>
          </cell>
          <cell r="B514">
            <v>2371.56</v>
          </cell>
          <cell r="C514">
            <v>2374.42</v>
          </cell>
          <cell r="D514">
            <v>2368.52</v>
          </cell>
          <cell r="E514">
            <v>2373.4699999999998</v>
          </cell>
          <cell r="F514">
            <v>2373.4699999999998</v>
          </cell>
        </row>
        <row r="515">
          <cell r="A515">
            <v>42808</v>
          </cell>
          <cell r="B515">
            <v>2368.5500000000002</v>
          </cell>
          <cell r="C515">
            <v>2368.5500000000002</v>
          </cell>
          <cell r="D515">
            <v>2358.1799999999998</v>
          </cell>
          <cell r="E515">
            <v>2365.4499999999998</v>
          </cell>
          <cell r="F515">
            <v>2365.4499999999998</v>
          </cell>
        </row>
        <row r="516">
          <cell r="A516">
            <v>42809</v>
          </cell>
          <cell r="B516">
            <v>2370.34</v>
          </cell>
          <cell r="C516">
            <v>2390.0100000000002</v>
          </cell>
          <cell r="D516">
            <v>2368.94</v>
          </cell>
          <cell r="E516">
            <v>2385.2600000000002</v>
          </cell>
          <cell r="F516">
            <v>2385.2600000000002</v>
          </cell>
        </row>
        <row r="517">
          <cell r="A517">
            <v>42810</v>
          </cell>
          <cell r="B517">
            <v>2387.71</v>
          </cell>
          <cell r="C517">
            <v>2388.1</v>
          </cell>
          <cell r="D517">
            <v>2377.1799999999998</v>
          </cell>
          <cell r="E517">
            <v>2381.38</v>
          </cell>
          <cell r="F517">
            <v>2381.38</v>
          </cell>
        </row>
        <row r="518">
          <cell r="A518">
            <v>42811</v>
          </cell>
          <cell r="B518">
            <v>2383.71</v>
          </cell>
          <cell r="C518">
            <v>2385.71</v>
          </cell>
          <cell r="D518">
            <v>2377.64</v>
          </cell>
          <cell r="E518">
            <v>2378.25</v>
          </cell>
          <cell r="F518">
            <v>2378.25</v>
          </cell>
        </row>
        <row r="519">
          <cell r="A519">
            <v>42814</v>
          </cell>
          <cell r="B519">
            <v>2378.2399999999998</v>
          </cell>
          <cell r="C519">
            <v>2379.5500000000002</v>
          </cell>
          <cell r="D519">
            <v>2369.66</v>
          </cell>
          <cell r="E519">
            <v>2373.4699999999998</v>
          </cell>
          <cell r="F519">
            <v>2373.4699999999998</v>
          </cell>
        </row>
        <row r="520">
          <cell r="A520">
            <v>42815</v>
          </cell>
          <cell r="B520">
            <v>2379.3200000000002</v>
          </cell>
          <cell r="C520">
            <v>2381.9299999999998</v>
          </cell>
          <cell r="D520">
            <v>2341.9</v>
          </cell>
          <cell r="E520">
            <v>2344.02</v>
          </cell>
          <cell r="F520">
            <v>2344.02</v>
          </cell>
        </row>
        <row r="521">
          <cell r="A521">
            <v>42816</v>
          </cell>
          <cell r="B521">
            <v>2343</v>
          </cell>
          <cell r="C521">
            <v>2351.81</v>
          </cell>
          <cell r="D521">
            <v>2336.4499999999998</v>
          </cell>
          <cell r="E521">
            <v>2348.4499999999998</v>
          </cell>
          <cell r="F521">
            <v>2348.4499999999998</v>
          </cell>
        </row>
        <row r="522">
          <cell r="A522">
            <v>42817</v>
          </cell>
          <cell r="B522">
            <v>2345.9699999999998</v>
          </cell>
          <cell r="C522">
            <v>2358.92</v>
          </cell>
          <cell r="D522">
            <v>2342.13</v>
          </cell>
          <cell r="E522">
            <v>2345.96</v>
          </cell>
          <cell r="F522">
            <v>2345.96</v>
          </cell>
        </row>
        <row r="523">
          <cell r="A523">
            <v>42818</v>
          </cell>
          <cell r="B523">
            <v>2350.42</v>
          </cell>
          <cell r="C523">
            <v>2356.2199999999998</v>
          </cell>
          <cell r="D523">
            <v>2335.7399999999998</v>
          </cell>
          <cell r="E523">
            <v>2343.98</v>
          </cell>
          <cell r="F523">
            <v>2343.98</v>
          </cell>
        </row>
        <row r="524">
          <cell r="A524">
            <v>42821</v>
          </cell>
          <cell r="B524">
            <v>2329.11</v>
          </cell>
          <cell r="C524">
            <v>2344.9</v>
          </cell>
          <cell r="D524">
            <v>2322.25</v>
          </cell>
          <cell r="E524">
            <v>2341.59</v>
          </cell>
          <cell r="F524">
            <v>2341.59</v>
          </cell>
        </row>
        <row r="525">
          <cell r="A525">
            <v>42822</v>
          </cell>
          <cell r="B525">
            <v>2339.79</v>
          </cell>
          <cell r="C525">
            <v>2363.7800000000002</v>
          </cell>
          <cell r="D525">
            <v>2337.63</v>
          </cell>
          <cell r="E525">
            <v>2358.5700000000002</v>
          </cell>
          <cell r="F525">
            <v>2358.5700000000002</v>
          </cell>
        </row>
        <row r="526">
          <cell r="A526">
            <v>42823</v>
          </cell>
          <cell r="B526">
            <v>2356.54</v>
          </cell>
          <cell r="C526">
            <v>2363.36</v>
          </cell>
          <cell r="D526">
            <v>2352.94</v>
          </cell>
          <cell r="E526">
            <v>2361.13</v>
          </cell>
          <cell r="F526">
            <v>2361.13</v>
          </cell>
        </row>
        <row r="527">
          <cell r="A527">
            <v>42824</v>
          </cell>
          <cell r="B527">
            <v>2361.31</v>
          </cell>
          <cell r="C527">
            <v>2370.42</v>
          </cell>
          <cell r="D527">
            <v>2358.58</v>
          </cell>
          <cell r="E527">
            <v>2368.06</v>
          </cell>
          <cell r="F527">
            <v>2368.06</v>
          </cell>
        </row>
        <row r="528">
          <cell r="A528">
            <v>42825</v>
          </cell>
          <cell r="B528">
            <v>2364.8200000000002</v>
          </cell>
          <cell r="C528">
            <v>2370.35</v>
          </cell>
          <cell r="D528">
            <v>2362.6</v>
          </cell>
          <cell r="E528">
            <v>2362.7199999999998</v>
          </cell>
          <cell r="F528">
            <v>2362.7199999999998</v>
          </cell>
        </row>
        <row r="529">
          <cell r="A529">
            <v>42828</v>
          </cell>
          <cell r="B529">
            <v>2362.34</v>
          </cell>
          <cell r="C529">
            <v>2365.87</v>
          </cell>
          <cell r="D529">
            <v>2344.73</v>
          </cell>
          <cell r="E529">
            <v>2358.84</v>
          </cell>
          <cell r="F529">
            <v>2358.84</v>
          </cell>
        </row>
        <row r="530">
          <cell r="A530">
            <v>42829</v>
          </cell>
          <cell r="B530">
            <v>2354.7600000000002</v>
          </cell>
          <cell r="C530">
            <v>2360.5300000000002</v>
          </cell>
          <cell r="D530">
            <v>2350.7199999999998</v>
          </cell>
          <cell r="E530">
            <v>2360.16</v>
          </cell>
          <cell r="F530">
            <v>2360.16</v>
          </cell>
        </row>
        <row r="531">
          <cell r="A531">
            <v>42830</v>
          </cell>
          <cell r="B531">
            <v>2366.59</v>
          </cell>
          <cell r="C531">
            <v>2378.36</v>
          </cell>
          <cell r="D531">
            <v>2350.52</v>
          </cell>
          <cell r="E531">
            <v>2352.9499999999998</v>
          </cell>
          <cell r="F531">
            <v>2352.9499999999998</v>
          </cell>
        </row>
        <row r="532">
          <cell r="A532">
            <v>42831</v>
          </cell>
          <cell r="B532">
            <v>2353.79</v>
          </cell>
          <cell r="C532">
            <v>2364.16</v>
          </cell>
          <cell r="D532">
            <v>2348.9</v>
          </cell>
          <cell r="E532">
            <v>2357.4899999999998</v>
          </cell>
          <cell r="F532">
            <v>2357.4899999999998</v>
          </cell>
        </row>
        <row r="533">
          <cell r="A533">
            <v>42832</v>
          </cell>
          <cell r="B533">
            <v>2356.59</v>
          </cell>
          <cell r="C533">
            <v>2363.7600000000002</v>
          </cell>
          <cell r="D533">
            <v>2350.7399999999998</v>
          </cell>
          <cell r="E533">
            <v>2355.54</v>
          </cell>
          <cell r="F533">
            <v>2355.54</v>
          </cell>
        </row>
        <row r="534">
          <cell r="A534">
            <v>42835</v>
          </cell>
          <cell r="B534">
            <v>2357.16</v>
          </cell>
          <cell r="C534">
            <v>2366.37</v>
          </cell>
          <cell r="D534">
            <v>2351.5</v>
          </cell>
          <cell r="E534">
            <v>2357.16</v>
          </cell>
          <cell r="F534">
            <v>2357.16</v>
          </cell>
        </row>
        <row r="535">
          <cell r="A535">
            <v>42836</v>
          </cell>
          <cell r="B535">
            <v>2353.92</v>
          </cell>
          <cell r="C535">
            <v>2355.2199999999998</v>
          </cell>
          <cell r="D535">
            <v>2337.25</v>
          </cell>
          <cell r="E535">
            <v>2353.7800000000002</v>
          </cell>
          <cell r="F535">
            <v>2353.7800000000002</v>
          </cell>
        </row>
        <row r="536">
          <cell r="A536">
            <v>42837</v>
          </cell>
          <cell r="B536">
            <v>2352.15</v>
          </cell>
          <cell r="C536">
            <v>2352.7199999999998</v>
          </cell>
          <cell r="D536">
            <v>2341.1799999999998</v>
          </cell>
          <cell r="E536">
            <v>2344.9299999999998</v>
          </cell>
          <cell r="F536">
            <v>2344.9299999999998</v>
          </cell>
        </row>
        <row r="537">
          <cell r="A537">
            <v>42838</v>
          </cell>
          <cell r="B537">
            <v>2341.98</v>
          </cell>
          <cell r="C537">
            <v>2348.2600000000002</v>
          </cell>
          <cell r="D537">
            <v>2328.9499999999998</v>
          </cell>
          <cell r="E537">
            <v>2328.9499999999998</v>
          </cell>
          <cell r="F537">
            <v>2328.9499999999998</v>
          </cell>
        </row>
        <row r="538">
          <cell r="A538">
            <v>42842</v>
          </cell>
          <cell r="B538">
            <v>2332.62</v>
          </cell>
          <cell r="C538">
            <v>2349.14</v>
          </cell>
          <cell r="D538">
            <v>2332.5100000000002</v>
          </cell>
          <cell r="E538">
            <v>2349.0100000000002</v>
          </cell>
          <cell r="F538">
            <v>2349.0100000000002</v>
          </cell>
        </row>
        <row r="539">
          <cell r="A539">
            <v>42843</v>
          </cell>
          <cell r="B539">
            <v>2342.5300000000002</v>
          </cell>
          <cell r="C539">
            <v>2348.35</v>
          </cell>
          <cell r="D539">
            <v>2334.54</v>
          </cell>
          <cell r="E539">
            <v>2342.19</v>
          </cell>
          <cell r="F539">
            <v>2342.19</v>
          </cell>
        </row>
        <row r="540">
          <cell r="A540">
            <v>42844</v>
          </cell>
          <cell r="B540">
            <v>2346.79</v>
          </cell>
          <cell r="C540">
            <v>2352.63</v>
          </cell>
          <cell r="D540">
            <v>2335.0500000000002</v>
          </cell>
          <cell r="E540">
            <v>2338.17</v>
          </cell>
          <cell r="F540">
            <v>2338.17</v>
          </cell>
        </row>
        <row r="541">
          <cell r="A541">
            <v>42845</v>
          </cell>
          <cell r="B541">
            <v>2342.69</v>
          </cell>
          <cell r="C541">
            <v>2361.37</v>
          </cell>
          <cell r="D541">
            <v>2340.91</v>
          </cell>
          <cell r="E541">
            <v>2355.84</v>
          </cell>
          <cell r="F541">
            <v>2355.84</v>
          </cell>
        </row>
        <row r="542">
          <cell r="A542">
            <v>42846</v>
          </cell>
          <cell r="B542">
            <v>2354.7399999999998</v>
          </cell>
          <cell r="C542">
            <v>2356.1799999999998</v>
          </cell>
          <cell r="D542">
            <v>2344.5100000000002</v>
          </cell>
          <cell r="E542">
            <v>2348.69</v>
          </cell>
          <cell r="F542">
            <v>2348.69</v>
          </cell>
        </row>
        <row r="543">
          <cell r="A543">
            <v>42849</v>
          </cell>
          <cell r="B543">
            <v>2370.33</v>
          </cell>
          <cell r="C543">
            <v>2376.98</v>
          </cell>
          <cell r="D543">
            <v>2369.19</v>
          </cell>
          <cell r="E543">
            <v>2374.15</v>
          </cell>
          <cell r="F543">
            <v>2374.15</v>
          </cell>
        </row>
        <row r="544">
          <cell r="A544">
            <v>42850</v>
          </cell>
          <cell r="B544">
            <v>2381.5100000000002</v>
          </cell>
          <cell r="C544">
            <v>2392.48</v>
          </cell>
          <cell r="D544">
            <v>2381.15</v>
          </cell>
          <cell r="E544">
            <v>2388.61</v>
          </cell>
          <cell r="F544">
            <v>2388.61</v>
          </cell>
        </row>
        <row r="545">
          <cell r="A545">
            <v>42851</v>
          </cell>
          <cell r="B545">
            <v>2388.98</v>
          </cell>
          <cell r="C545">
            <v>2398.16</v>
          </cell>
          <cell r="D545">
            <v>2386.7800000000002</v>
          </cell>
          <cell r="E545">
            <v>2387.4499999999998</v>
          </cell>
          <cell r="F545">
            <v>2387.4499999999998</v>
          </cell>
        </row>
        <row r="546">
          <cell r="A546">
            <v>42852</v>
          </cell>
          <cell r="B546">
            <v>2389.6999999999998</v>
          </cell>
          <cell r="C546">
            <v>2392.1</v>
          </cell>
          <cell r="D546">
            <v>2382.6799999999998</v>
          </cell>
          <cell r="E546">
            <v>2388.77</v>
          </cell>
          <cell r="F546">
            <v>2388.77</v>
          </cell>
        </row>
        <row r="547">
          <cell r="A547">
            <v>42853</v>
          </cell>
          <cell r="B547">
            <v>2393.6799999999998</v>
          </cell>
          <cell r="C547">
            <v>2393.6799999999998</v>
          </cell>
          <cell r="D547">
            <v>2382.36</v>
          </cell>
          <cell r="E547">
            <v>2384.1999999999998</v>
          </cell>
          <cell r="F547">
            <v>2384.1999999999998</v>
          </cell>
        </row>
        <row r="548">
          <cell r="A548">
            <v>42856</v>
          </cell>
          <cell r="B548">
            <v>2388.5</v>
          </cell>
          <cell r="C548">
            <v>2394.4899999999998</v>
          </cell>
          <cell r="D548">
            <v>2384.83</v>
          </cell>
          <cell r="E548">
            <v>2388.33</v>
          </cell>
          <cell r="F548">
            <v>2388.33</v>
          </cell>
        </row>
        <row r="549">
          <cell r="A549">
            <v>42857</v>
          </cell>
          <cell r="B549">
            <v>2391.0500000000002</v>
          </cell>
          <cell r="C549">
            <v>2392.9299999999998</v>
          </cell>
          <cell r="D549">
            <v>2385.8200000000002</v>
          </cell>
          <cell r="E549">
            <v>2391.17</v>
          </cell>
          <cell r="F549">
            <v>2391.17</v>
          </cell>
        </row>
        <row r="550">
          <cell r="A550">
            <v>42858</v>
          </cell>
          <cell r="B550">
            <v>2386.5</v>
          </cell>
          <cell r="C550">
            <v>2389.8200000000002</v>
          </cell>
          <cell r="D550">
            <v>2379.75</v>
          </cell>
          <cell r="E550">
            <v>2388.13</v>
          </cell>
          <cell r="F550">
            <v>2388.13</v>
          </cell>
        </row>
        <row r="551">
          <cell r="A551">
            <v>42859</v>
          </cell>
          <cell r="B551">
            <v>2389.79</v>
          </cell>
          <cell r="C551">
            <v>2391.4299999999998</v>
          </cell>
          <cell r="D551">
            <v>2380.35</v>
          </cell>
          <cell r="E551">
            <v>2389.52</v>
          </cell>
          <cell r="F551">
            <v>2389.52</v>
          </cell>
        </row>
        <row r="552">
          <cell r="A552">
            <v>42860</v>
          </cell>
          <cell r="B552">
            <v>2392.37</v>
          </cell>
          <cell r="C552">
            <v>2399.29</v>
          </cell>
          <cell r="D552">
            <v>2389.38</v>
          </cell>
          <cell r="E552">
            <v>2399.29</v>
          </cell>
          <cell r="F552">
            <v>2399.29</v>
          </cell>
        </row>
        <row r="553">
          <cell r="A553">
            <v>42863</v>
          </cell>
          <cell r="B553">
            <v>2399.94</v>
          </cell>
          <cell r="C553">
            <v>2401.36</v>
          </cell>
          <cell r="D553">
            <v>2393.92</v>
          </cell>
          <cell r="E553">
            <v>2399.38</v>
          </cell>
          <cell r="F553">
            <v>2399.38</v>
          </cell>
        </row>
        <row r="554">
          <cell r="A554">
            <v>42864</v>
          </cell>
          <cell r="B554">
            <v>2401.58</v>
          </cell>
          <cell r="C554">
            <v>2403.87</v>
          </cell>
          <cell r="D554">
            <v>2392.44</v>
          </cell>
          <cell r="E554">
            <v>2396.92</v>
          </cell>
          <cell r="F554">
            <v>2396.92</v>
          </cell>
        </row>
        <row r="555">
          <cell r="A555">
            <v>42865</v>
          </cell>
          <cell r="B555">
            <v>2396.79</v>
          </cell>
          <cell r="C555">
            <v>2399.7399999999998</v>
          </cell>
          <cell r="D555">
            <v>2392.79</v>
          </cell>
          <cell r="E555">
            <v>2399.63</v>
          </cell>
          <cell r="F555">
            <v>2399.63</v>
          </cell>
        </row>
        <row r="556">
          <cell r="A556">
            <v>42866</v>
          </cell>
          <cell r="B556">
            <v>2394.84</v>
          </cell>
          <cell r="C556">
            <v>2395.7199999999998</v>
          </cell>
          <cell r="D556">
            <v>2381.7399999999998</v>
          </cell>
          <cell r="E556">
            <v>2394.44</v>
          </cell>
          <cell r="F556">
            <v>2394.44</v>
          </cell>
        </row>
        <row r="557">
          <cell r="A557">
            <v>42867</v>
          </cell>
          <cell r="B557">
            <v>2392.44</v>
          </cell>
          <cell r="C557">
            <v>2392.44</v>
          </cell>
          <cell r="D557">
            <v>2387.19</v>
          </cell>
          <cell r="E557">
            <v>2390.9</v>
          </cell>
          <cell r="F557">
            <v>2390.9</v>
          </cell>
        </row>
        <row r="558">
          <cell r="A558">
            <v>42870</v>
          </cell>
          <cell r="B558">
            <v>2393.98</v>
          </cell>
          <cell r="C558">
            <v>2404.0500000000002</v>
          </cell>
          <cell r="D558">
            <v>2393.94</v>
          </cell>
          <cell r="E558">
            <v>2402.3200000000002</v>
          </cell>
          <cell r="F558">
            <v>2402.3200000000002</v>
          </cell>
        </row>
        <row r="559">
          <cell r="A559">
            <v>42871</v>
          </cell>
          <cell r="B559">
            <v>2404.5500000000002</v>
          </cell>
          <cell r="C559">
            <v>2405.77</v>
          </cell>
          <cell r="D559">
            <v>2396.0500000000002</v>
          </cell>
          <cell r="E559">
            <v>2400.67</v>
          </cell>
          <cell r="F559">
            <v>2400.67</v>
          </cell>
        </row>
        <row r="560">
          <cell r="A560">
            <v>42872</v>
          </cell>
          <cell r="B560">
            <v>2382.9499999999998</v>
          </cell>
          <cell r="C560">
            <v>2384.87</v>
          </cell>
          <cell r="D560">
            <v>2356.21</v>
          </cell>
          <cell r="E560">
            <v>2357.0300000000002</v>
          </cell>
          <cell r="F560">
            <v>2357.0300000000002</v>
          </cell>
        </row>
        <row r="561">
          <cell r="A561">
            <v>42873</v>
          </cell>
          <cell r="B561">
            <v>2354.69</v>
          </cell>
          <cell r="C561">
            <v>2375.7399999999998</v>
          </cell>
          <cell r="D561">
            <v>2352.7199999999998</v>
          </cell>
          <cell r="E561">
            <v>2365.7199999999998</v>
          </cell>
          <cell r="F561">
            <v>2365.7199999999998</v>
          </cell>
        </row>
        <row r="562">
          <cell r="A562">
            <v>42874</v>
          </cell>
          <cell r="B562">
            <v>2371.37</v>
          </cell>
          <cell r="C562">
            <v>2389.06</v>
          </cell>
          <cell r="D562">
            <v>2370.4299999999998</v>
          </cell>
          <cell r="E562">
            <v>2381.73</v>
          </cell>
          <cell r="F562">
            <v>2381.73</v>
          </cell>
        </row>
        <row r="563">
          <cell r="A563">
            <v>42877</v>
          </cell>
          <cell r="B563">
            <v>2387.21</v>
          </cell>
          <cell r="C563">
            <v>2395.46</v>
          </cell>
          <cell r="D563">
            <v>2386.92</v>
          </cell>
          <cell r="E563">
            <v>2394.02</v>
          </cell>
          <cell r="F563">
            <v>2394.02</v>
          </cell>
        </row>
        <row r="564">
          <cell r="A564">
            <v>42878</v>
          </cell>
          <cell r="B564">
            <v>2397.04</v>
          </cell>
          <cell r="C564">
            <v>2400.85</v>
          </cell>
          <cell r="D564">
            <v>2393.88</v>
          </cell>
          <cell r="E564">
            <v>2398.42</v>
          </cell>
          <cell r="F564">
            <v>2398.42</v>
          </cell>
        </row>
        <row r="565">
          <cell r="A565">
            <v>42879</v>
          </cell>
          <cell r="B565">
            <v>2401.41</v>
          </cell>
          <cell r="C565">
            <v>2405.58</v>
          </cell>
          <cell r="D565">
            <v>2397.9899999999998</v>
          </cell>
          <cell r="E565">
            <v>2404.39</v>
          </cell>
          <cell r="F565">
            <v>2404.39</v>
          </cell>
        </row>
        <row r="566">
          <cell r="A566">
            <v>42880</v>
          </cell>
          <cell r="B566">
            <v>2409.54</v>
          </cell>
          <cell r="C566">
            <v>2418.71</v>
          </cell>
          <cell r="D566">
            <v>2408.0100000000002</v>
          </cell>
          <cell r="E566">
            <v>2415.0700000000002</v>
          </cell>
          <cell r="F566">
            <v>2415.0700000000002</v>
          </cell>
        </row>
        <row r="567">
          <cell r="A567">
            <v>42881</v>
          </cell>
          <cell r="B567">
            <v>2414.5</v>
          </cell>
          <cell r="C567">
            <v>2416.6799999999998</v>
          </cell>
          <cell r="D567">
            <v>2412.1999999999998</v>
          </cell>
          <cell r="E567">
            <v>2415.8200000000002</v>
          </cell>
          <cell r="F567">
            <v>2415.8200000000002</v>
          </cell>
        </row>
        <row r="568">
          <cell r="A568">
            <v>42885</v>
          </cell>
          <cell r="B568">
            <v>2411.67</v>
          </cell>
          <cell r="C568">
            <v>2415.2600000000002</v>
          </cell>
          <cell r="D568">
            <v>2409.4299999999998</v>
          </cell>
          <cell r="E568">
            <v>2412.91</v>
          </cell>
          <cell r="F568">
            <v>2412.91</v>
          </cell>
        </row>
        <row r="569">
          <cell r="A569">
            <v>42886</v>
          </cell>
          <cell r="B569">
            <v>2415.63</v>
          </cell>
          <cell r="C569">
            <v>2415.9899999999998</v>
          </cell>
          <cell r="D569">
            <v>2403.59</v>
          </cell>
          <cell r="E569">
            <v>2411.8000000000002</v>
          </cell>
          <cell r="F569">
            <v>2411.8000000000002</v>
          </cell>
        </row>
        <row r="570">
          <cell r="A570">
            <v>42887</v>
          </cell>
          <cell r="B570">
            <v>2415.65</v>
          </cell>
          <cell r="C570">
            <v>2430.06</v>
          </cell>
          <cell r="D570">
            <v>2413.54</v>
          </cell>
          <cell r="E570">
            <v>2430.06</v>
          </cell>
          <cell r="F570">
            <v>2430.06</v>
          </cell>
        </row>
        <row r="571">
          <cell r="A571">
            <v>42888</v>
          </cell>
          <cell r="B571">
            <v>2431.2800000000002</v>
          </cell>
          <cell r="C571">
            <v>2440.23</v>
          </cell>
          <cell r="D571">
            <v>2427.71</v>
          </cell>
          <cell r="E571">
            <v>2439.0700000000002</v>
          </cell>
          <cell r="F571">
            <v>2439.0700000000002</v>
          </cell>
        </row>
        <row r="572">
          <cell r="A572">
            <v>42891</v>
          </cell>
          <cell r="B572">
            <v>2437.83</v>
          </cell>
          <cell r="C572">
            <v>2439.5500000000002</v>
          </cell>
          <cell r="D572">
            <v>2434.3200000000002</v>
          </cell>
          <cell r="E572">
            <v>2436.1</v>
          </cell>
          <cell r="F572">
            <v>2436.1</v>
          </cell>
        </row>
        <row r="573">
          <cell r="A573">
            <v>42892</v>
          </cell>
          <cell r="B573">
            <v>2431.92</v>
          </cell>
          <cell r="C573">
            <v>2436.21</v>
          </cell>
          <cell r="D573">
            <v>2428.12</v>
          </cell>
          <cell r="E573">
            <v>2429.33</v>
          </cell>
          <cell r="F573">
            <v>2429.33</v>
          </cell>
        </row>
        <row r="574">
          <cell r="A574">
            <v>42893</v>
          </cell>
          <cell r="B574">
            <v>2432.0300000000002</v>
          </cell>
          <cell r="C574">
            <v>2435.2800000000002</v>
          </cell>
          <cell r="D574">
            <v>2424.75</v>
          </cell>
          <cell r="E574">
            <v>2433.14</v>
          </cell>
          <cell r="F574">
            <v>2433.14</v>
          </cell>
        </row>
        <row r="575">
          <cell r="A575">
            <v>42894</v>
          </cell>
          <cell r="B575">
            <v>2434.27</v>
          </cell>
          <cell r="C575">
            <v>2439.27</v>
          </cell>
          <cell r="D575">
            <v>2427.94</v>
          </cell>
          <cell r="E575">
            <v>2433.79</v>
          </cell>
          <cell r="F575">
            <v>2433.79</v>
          </cell>
        </row>
        <row r="576">
          <cell r="A576">
            <v>42895</v>
          </cell>
          <cell r="B576">
            <v>2436.39</v>
          </cell>
          <cell r="C576">
            <v>2446.1999999999998</v>
          </cell>
          <cell r="D576">
            <v>2415.6999999999998</v>
          </cell>
          <cell r="E576">
            <v>2431.77</v>
          </cell>
          <cell r="F576">
            <v>2431.77</v>
          </cell>
        </row>
        <row r="577">
          <cell r="A577">
            <v>42898</v>
          </cell>
          <cell r="B577">
            <v>2425.88</v>
          </cell>
          <cell r="C577">
            <v>2430.38</v>
          </cell>
          <cell r="D577">
            <v>2419.9699999999998</v>
          </cell>
          <cell r="E577">
            <v>2429.39</v>
          </cell>
          <cell r="F577">
            <v>2429.39</v>
          </cell>
        </row>
        <row r="578">
          <cell r="A578">
            <v>42899</v>
          </cell>
          <cell r="B578">
            <v>2434.15</v>
          </cell>
          <cell r="C578">
            <v>2441.4899999999998</v>
          </cell>
          <cell r="D578">
            <v>2431.2800000000002</v>
          </cell>
          <cell r="E578">
            <v>2440.35</v>
          </cell>
          <cell r="F578">
            <v>2440.35</v>
          </cell>
        </row>
        <row r="579">
          <cell r="A579">
            <v>42900</v>
          </cell>
          <cell r="B579">
            <v>2443.75</v>
          </cell>
          <cell r="C579">
            <v>2443.75</v>
          </cell>
          <cell r="D579">
            <v>2428.34</v>
          </cell>
          <cell r="E579">
            <v>2437.92</v>
          </cell>
          <cell r="F579">
            <v>2437.92</v>
          </cell>
        </row>
        <row r="580">
          <cell r="A580">
            <v>42901</v>
          </cell>
          <cell r="B580">
            <v>2424.14</v>
          </cell>
          <cell r="C580">
            <v>2433.9499999999998</v>
          </cell>
          <cell r="D580">
            <v>2418.5300000000002</v>
          </cell>
          <cell r="E580">
            <v>2432.46</v>
          </cell>
          <cell r="F580">
            <v>2432.46</v>
          </cell>
        </row>
        <row r="581">
          <cell r="A581">
            <v>42902</v>
          </cell>
          <cell r="B581">
            <v>2431.2399999999998</v>
          </cell>
          <cell r="C581">
            <v>2433.15</v>
          </cell>
          <cell r="D581">
            <v>2422.88</v>
          </cell>
          <cell r="E581">
            <v>2433.15</v>
          </cell>
          <cell r="F581">
            <v>2433.15</v>
          </cell>
        </row>
        <row r="582">
          <cell r="A582">
            <v>42905</v>
          </cell>
          <cell r="B582">
            <v>2442.5500000000002</v>
          </cell>
          <cell r="C582">
            <v>2453.8200000000002</v>
          </cell>
          <cell r="D582">
            <v>2441.79</v>
          </cell>
          <cell r="E582">
            <v>2453.46</v>
          </cell>
          <cell r="F582">
            <v>2453.46</v>
          </cell>
        </row>
        <row r="583">
          <cell r="A583">
            <v>42906</v>
          </cell>
          <cell r="B583">
            <v>2450.66</v>
          </cell>
          <cell r="C583">
            <v>2450.66</v>
          </cell>
          <cell r="D583">
            <v>2436.6</v>
          </cell>
          <cell r="E583">
            <v>2437.0300000000002</v>
          </cell>
          <cell r="F583">
            <v>2437.0300000000002</v>
          </cell>
        </row>
        <row r="584">
          <cell r="A584">
            <v>42907</v>
          </cell>
          <cell r="B584">
            <v>2439.31</v>
          </cell>
          <cell r="C584">
            <v>2442.23</v>
          </cell>
          <cell r="D584">
            <v>2430.7399999999998</v>
          </cell>
          <cell r="E584">
            <v>2435.61</v>
          </cell>
          <cell r="F584">
            <v>2435.61</v>
          </cell>
        </row>
        <row r="585">
          <cell r="A585">
            <v>42908</v>
          </cell>
          <cell r="B585">
            <v>2437.4</v>
          </cell>
          <cell r="C585">
            <v>2441.62</v>
          </cell>
          <cell r="D585">
            <v>2433.27</v>
          </cell>
          <cell r="E585">
            <v>2434.5</v>
          </cell>
          <cell r="F585">
            <v>2434.5</v>
          </cell>
        </row>
        <row r="586">
          <cell r="A586">
            <v>42909</v>
          </cell>
          <cell r="B586">
            <v>2434.65</v>
          </cell>
          <cell r="C586">
            <v>2441.4</v>
          </cell>
          <cell r="D586">
            <v>2431.11</v>
          </cell>
          <cell r="E586">
            <v>2438.3000000000002</v>
          </cell>
          <cell r="F586">
            <v>2438.3000000000002</v>
          </cell>
        </row>
        <row r="587">
          <cell r="A587">
            <v>42912</v>
          </cell>
          <cell r="B587">
            <v>2443.3200000000002</v>
          </cell>
          <cell r="C587">
            <v>2450.42</v>
          </cell>
          <cell r="D587">
            <v>2437.0300000000002</v>
          </cell>
          <cell r="E587">
            <v>2439.0700000000002</v>
          </cell>
          <cell r="F587">
            <v>2439.0700000000002</v>
          </cell>
        </row>
        <row r="588">
          <cell r="A588">
            <v>42913</v>
          </cell>
          <cell r="B588">
            <v>2436.34</v>
          </cell>
          <cell r="C588">
            <v>2440.15</v>
          </cell>
          <cell r="D588">
            <v>2419.38</v>
          </cell>
          <cell r="E588">
            <v>2419.38</v>
          </cell>
          <cell r="F588">
            <v>2419.38</v>
          </cell>
        </row>
        <row r="589">
          <cell r="A589">
            <v>42914</v>
          </cell>
          <cell r="B589">
            <v>2428.6999999999998</v>
          </cell>
          <cell r="C589">
            <v>2442.9699999999998</v>
          </cell>
          <cell r="D589">
            <v>2428.02</v>
          </cell>
          <cell r="E589">
            <v>2440.69</v>
          </cell>
          <cell r="F589">
            <v>2440.69</v>
          </cell>
        </row>
        <row r="590">
          <cell r="A590">
            <v>42915</v>
          </cell>
          <cell r="B590">
            <v>2442.38</v>
          </cell>
          <cell r="C590">
            <v>2442.73</v>
          </cell>
          <cell r="D590">
            <v>2405.6999999999998</v>
          </cell>
          <cell r="E590">
            <v>2419.6999999999998</v>
          </cell>
          <cell r="F590">
            <v>2419.6999999999998</v>
          </cell>
        </row>
        <row r="591">
          <cell r="A591">
            <v>42916</v>
          </cell>
          <cell r="B591">
            <v>2429.1999999999998</v>
          </cell>
          <cell r="C591">
            <v>2432.71</v>
          </cell>
          <cell r="D591">
            <v>2421.65</v>
          </cell>
          <cell r="E591">
            <v>2423.41</v>
          </cell>
          <cell r="F591">
            <v>2423.41</v>
          </cell>
        </row>
        <row r="592">
          <cell r="A592">
            <v>42919</v>
          </cell>
          <cell r="B592">
            <v>2431.39</v>
          </cell>
          <cell r="C592">
            <v>2439.17</v>
          </cell>
          <cell r="D592">
            <v>2428.69</v>
          </cell>
          <cell r="E592">
            <v>2429.0100000000002</v>
          </cell>
          <cell r="F592">
            <v>2429.0100000000002</v>
          </cell>
        </row>
        <row r="593">
          <cell r="A593">
            <v>42921</v>
          </cell>
          <cell r="B593">
            <v>2430.7800000000002</v>
          </cell>
          <cell r="C593">
            <v>2434.9</v>
          </cell>
          <cell r="D593">
            <v>2422.0500000000002</v>
          </cell>
          <cell r="E593">
            <v>2432.54</v>
          </cell>
          <cell r="F593">
            <v>2432.54</v>
          </cell>
        </row>
        <row r="594">
          <cell r="A594">
            <v>42922</v>
          </cell>
          <cell r="B594">
            <v>2423.44</v>
          </cell>
          <cell r="C594">
            <v>2424.2800000000002</v>
          </cell>
          <cell r="D594">
            <v>2407.6999999999998</v>
          </cell>
          <cell r="E594">
            <v>2409.75</v>
          </cell>
          <cell r="F594">
            <v>2409.75</v>
          </cell>
        </row>
        <row r="595">
          <cell r="A595">
            <v>42923</v>
          </cell>
          <cell r="B595">
            <v>2413.52</v>
          </cell>
          <cell r="C595">
            <v>2426.92</v>
          </cell>
          <cell r="D595">
            <v>2413.52</v>
          </cell>
          <cell r="E595">
            <v>2425.1799999999998</v>
          </cell>
          <cell r="F595">
            <v>2425.1799999999998</v>
          </cell>
        </row>
        <row r="596">
          <cell r="A596">
            <v>42926</v>
          </cell>
          <cell r="B596">
            <v>2424.5100000000002</v>
          </cell>
          <cell r="C596">
            <v>2432</v>
          </cell>
          <cell r="D596">
            <v>2422.27</v>
          </cell>
          <cell r="E596">
            <v>2427.4299999999998</v>
          </cell>
          <cell r="F596">
            <v>2427.4299999999998</v>
          </cell>
        </row>
        <row r="597">
          <cell r="A597">
            <v>42927</v>
          </cell>
          <cell r="B597">
            <v>2427.35</v>
          </cell>
          <cell r="C597">
            <v>2429.3000000000002</v>
          </cell>
          <cell r="D597">
            <v>2412.79</v>
          </cell>
          <cell r="E597">
            <v>2425.5300000000002</v>
          </cell>
          <cell r="F597">
            <v>2425.5300000000002</v>
          </cell>
        </row>
        <row r="598">
          <cell r="A598">
            <v>42928</v>
          </cell>
          <cell r="B598">
            <v>2435.75</v>
          </cell>
          <cell r="C598">
            <v>2445.7600000000002</v>
          </cell>
          <cell r="D598">
            <v>2435.75</v>
          </cell>
          <cell r="E598">
            <v>2443.25</v>
          </cell>
          <cell r="F598">
            <v>2443.25</v>
          </cell>
        </row>
        <row r="599">
          <cell r="A599">
            <v>42929</v>
          </cell>
          <cell r="B599">
            <v>2444.9899999999998</v>
          </cell>
          <cell r="C599">
            <v>2449.3200000000002</v>
          </cell>
          <cell r="D599">
            <v>2441.69</v>
          </cell>
          <cell r="E599">
            <v>2447.83</v>
          </cell>
          <cell r="F599">
            <v>2447.83</v>
          </cell>
        </row>
        <row r="600">
          <cell r="A600">
            <v>42930</v>
          </cell>
          <cell r="B600">
            <v>2449.16</v>
          </cell>
          <cell r="C600">
            <v>2463.54</v>
          </cell>
          <cell r="D600">
            <v>2446.69</v>
          </cell>
          <cell r="E600">
            <v>2459.27</v>
          </cell>
          <cell r="F600">
            <v>2459.27</v>
          </cell>
        </row>
        <row r="601">
          <cell r="A601">
            <v>42933</v>
          </cell>
          <cell r="B601">
            <v>2459.5</v>
          </cell>
          <cell r="C601">
            <v>2462.8200000000002</v>
          </cell>
          <cell r="D601">
            <v>2457.16</v>
          </cell>
          <cell r="E601">
            <v>2459.14</v>
          </cell>
          <cell r="F601">
            <v>2459.14</v>
          </cell>
        </row>
        <row r="602">
          <cell r="A602">
            <v>42934</v>
          </cell>
          <cell r="B602">
            <v>2455.88</v>
          </cell>
          <cell r="C602">
            <v>2460.92</v>
          </cell>
          <cell r="D602">
            <v>2450.34</v>
          </cell>
          <cell r="E602">
            <v>2460.61</v>
          </cell>
          <cell r="F602">
            <v>2460.61</v>
          </cell>
        </row>
        <row r="603">
          <cell r="A603">
            <v>42935</v>
          </cell>
          <cell r="B603">
            <v>2463.85</v>
          </cell>
          <cell r="C603">
            <v>2473.83</v>
          </cell>
          <cell r="D603">
            <v>2463.85</v>
          </cell>
          <cell r="E603">
            <v>2473.83</v>
          </cell>
          <cell r="F603">
            <v>2473.83</v>
          </cell>
        </row>
        <row r="604">
          <cell r="A604">
            <v>42936</v>
          </cell>
          <cell r="B604">
            <v>2475.56</v>
          </cell>
          <cell r="C604">
            <v>2477.62</v>
          </cell>
          <cell r="D604">
            <v>2468.4299999999998</v>
          </cell>
          <cell r="E604">
            <v>2473.4499999999998</v>
          </cell>
          <cell r="F604">
            <v>2473.4499999999998</v>
          </cell>
        </row>
        <row r="605">
          <cell r="A605">
            <v>42937</v>
          </cell>
          <cell r="B605">
            <v>2467.4</v>
          </cell>
          <cell r="C605">
            <v>2472.54</v>
          </cell>
          <cell r="D605">
            <v>2465.06</v>
          </cell>
          <cell r="E605">
            <v>2472.54</v>
          </cell>
          <cell r="F605">
            <v>2472.54</v>
          </cell>
        </row>
        <row r="606">
          <cell r="A606">
            <v>42940</v>
          </cell>
          <cell r="B606">
            <v>2472.04</v>
          </cell>
          <cell r="C606">
            <v>2473.1</v>
          </cell>
          <cell r="D606">
            <v>2466.3200000000002</v>
          </cell>
          <cell r="E606">
            <v>2469.91</v>
          </cell>
          <cell r="F606">
            <v>2469.91</v>
          </cell>
        </row>
        <row r="607">
          <cell r="A607">
            <v>42941</v>
          </cell>
          <cell r="B607">
            <v>2477.88</v>
          </cell>
          <cell r="C607">
            <v>2481.2399999999998</v>
          </cell>
          <cell r="D607">
            <v>2474.91</v>
          </cell>
          <cell r="E607">
            <v>2477.13</v>
          </cell>
          <cell r="F607">
            <v>2477.13</v>
          </cell>
        </row>
        <row r="608">
          <cell r="A608">
            <v>42942</v>
          </cell>
          <cell r="B608">
            <v>2479.9699999999998</v>
          </cell>
          <cell r="C608">
            <v>2481.69</v>
          </cell>
          <cell r="D608">
            <v>2474.94</v>
          </cell>
          <cell r="E608">
            <v>2477.83</v>
          </cell>
          <cell r="F608">
            <v>2477.83</v>
          </cell>
        </row>
        <row r="609">
          <cell r="A609">
            <v>42943</v>
          </cell>
          <cell r="B609">
            <v>2482.7600000000002</v>
          </cell>
          <cell r="C609">
            <v>2484.04</v>
          </cell>
          <cell r="D609">
            <v>2459.9299999999998</v>
          </cell>
          <cell r="E609">
            <v>2475.42</v>
          </cell>
          <cell r="F609">
            <v>2475.42</v>
          </cell>
        </row>
        <row r="610">
          <cell r="A610">
            <v>42944</v>
          </cell>
          <cell r="B610">
            <v>2469.12</v>
          </cell>
          <cell r="C610">
            <v>2473.5300000000002</v>
          </cell>
          <cell r="D610">
            <v>2464.66</v>
          </cell>
          <cell r="E610">
            <v>2472.1</v>
          </cell>
          <cell r="F610">
            <v>2472.1</v>
          </cell>
        </row>
        <row r="611">
          <cell r="A611">
            <v>42947</v>
          </cell>
          <cell r="B611">
            <v>2475.94</v>
          </cell>
          <cell r="C611">
            <v>2477.96</v>
          </cell>
          <cell r="D611">
            <v>2468.5300000000002</v>
          </cell>
          <cell r="E611">
            <v>2470.3000000000002</v>
          </cell>
          <cell r="F611">
            <v>2470.3000000000002</v>
          </cell>
        </row>
        <row r="612">
          <cell r="A612">
            <v>42948</v>
          </cell>
          <cell r="B612">
            <v>2477.1</v>
          </cell>
          <cell r="C612">
            <v>2478.5100000000002</v>
          </cell>
          <cell r="D612">
            <v>2471.14</v>
          </cell>
          <cell r="E612">
            <v>2476.35</v>
          </cell>
          <cell r="F612">
            <v>2476.35</v>
          </cell>
        </row>
        <row r="613">
          <cell r="A613">
            <v>42949</v>
          </cell>
          <cell r="B613">
            <v>2480.38</v>
          </cell>
          <cell r="C613">
            <v>2480.38</v>
          </cell>
          <cell r="D613">
            <v>2466.48</v>
          </cell>
          <cell r="E613">
            <v>2477.5700000000002</v>
          </cell>
          <cell r="F613">
            <v>2477.5700000000002</v>
          </cell>
        </row>
        <row r="614">
          <cell r="A614">
            <v>42950</v>
          </cell>
          <cell r="B614">
            <v>2476.0300000000002</v>
          </cell>
          <cell r="C614">
            <v>2476.0300000000002</v>
          </cell>
          <cell r="D614">
            <v>2468.85</v>
          </cell>
          <cell r="E614">
            <v>2472.16</v>
          </cell>
          <cell r="F614">
            <v>2472.16</v>
          </cell>
        </row>
        <row r="615">
          <cell r="A615">
            <v>42951</v>
          </cell>
          <cell r="B615">
            <v>2476.88</v>
          </cell>
          <cell r="C615">
            <v>2480</v>
          </cell>
          <cell r="D615">
            <v>2472.08</v>
          </cell>
          <cell r="E615">
            <v>2476.83</v>
          </cell>
          <cell r="F615">
            <v>2476.83</v>
          </cell>
        </row>
        <row r="616">
          <cell r="A616">
            <v>42954</v>
          </cell>
          <cell r="B616">
            <v>2477.14</v>
          </cell>
          <cell r="C616">
            <v>2480.9499999999998</v>
          </cell>
          <cell r="D616">
            <v>2475.88</v>
          </cell>
          <cell r="E616">
            <v>2480.91</v>
          </cell>
          <cell r="F616">
            <v>2480.91</v>
          </cell>
        </row>
        <row r="617">
          <cell r="A617">
            <v>42955</v>
          </cell>
          <cell r="B617">
            <v>2478.35</v>
          </cell>
          <cell r="C617">
            <v>2490.87</v>
          </cell>
          <cell r="D617">
            <v>2470.3200000000002</v>
          </cell>
          <cell r="E617">
            <v>2474.92</v>
          </cell>
          <cell r="F617">
            <v>2474.92</v>
          </cell>
        </row>
        <row r="618">
          <cell r="A618">
            <v>42956</v>
          </cell>
          <cell r="B618">
            <v>2465.35</v>
          </cell>
          <cell r="C618">
            <v>2474.41</v>
          </cell>
          <cell r="D618">
            <v>2462.08</v>
          </cell>
          <cell r="E618">
            <v>2474.02</v>
          </cell>
          <cell r="F618">
            <v>2474.02</v>
          </cell>
        </row>
        <row r="619">
          <cell r="A619">
            <v>42957</v>
          </cell>
          <cell r="B619">
            <v>2465.38</v>
          </cell>
          <cell r="C619">
            <v>2465.38</v>
          </cell>
          <cell r="D619">
            <v>2437.75</v>
          </cell>
          <cell r="E619">
            <v>2438.21</v>
          </cell>
          <cell r="F619">
            <v>2438.21</v>
          </cell>
        </row>
        <row r="620">
          <cell r="A620">
            <v>42958</v>
          </cell>
          <cell r="B620">
            <v>2441.04</v>
          </cell>
          <cell r="C620">
            <v>2448.09</v>
          </cell>
          <cell r="D620">
            <v>2437.85</v>
          </cell>
          <cell r="E620">
            <v>2441.3200000000002</v>
          </cell>
          <cell r="F620">
            <v>2441.3200000000002</v>
          </cell>
        </row>
        <row r="621">
          <cell r="A621">
            <v>42961</v>
          </cell>
          <cell r="B621">
            <v>2454.96</v>
          </cell>
          <cell r="C621">
            <v>2468.2199999999998</v>
          </cell>
          <cell r="D621">
            <v>2454.96</v>
          </cell>
          <cell r="E621">
            <v>2465.84</v>
          </cell>
          <cell r="F621">
            <v>2465.84</v>
          </cell>
        </row>
        <row r="622">
          <cell r="A622">
            <v>42962</v>
          </cell>
          <cell r="B622">
            <v>2468.66</v>
          </cell>
          <cell r="C622">
            <v>2468.9</v>
          </cell>
          <cell r="D622">
            <v>2461.61</v>
          </cell>
          <cell r="E622">
            <v>2464.61</v>
          </cell>
          <cell r="F622">
            <v>2464.61</v>
          </cell>
        </row>
        <row r="623">
          <cell r="A623">
            <v>42963</v>
          </cell>
          <cell r="B623">
            <v>2468.63</v>
          </cell>
          <cell r="C623">
            <v>2474.9299999999998</v>
          </cell>
          <cell r="D623">
            <v>2463.86</v>
          </cell>
          <cell r="E623">
            <v>2468.11</v>
          </cell>
          <cell r="F623">
            <v>2468.11</v>
          </cell>
        </row>
        <row r="624">
          <cell r="A624">
            <v>42964</v>
          </cell>
          <cell r="B624">
            <v>2462.9499999999998</v>
          </cell>
          <cell r="C624">
            <v>2465.02</v>
          </cell>
          <cell r="D624">
            <v>2430.0100000000002</v>
          </cell>
          <cell r="E624">
            <v>2430.0100000000002</v>
          </cell>
          <cell r="F624">
            <v>2430.0100000000002</v>
          </cell>
        </row>
        <row r="625">
          <cell r="A625">
            <v>42965</v>
          </cell>
          <cell r="B625">
            <v>2427.64</v>
          </cell>
          <cell r="C625">
            <v>2440.27</v>
          </cell>
          <cell r="D625">
            <v>2420.69</v>
          </cell>
          <cell r="E625">
            <v>2425.5500000000002</v>
          </cell>
          <cell r="F625">
            <v>2425.5500000000002</v>
          </cell>
        </row>
        <row r="626">
          <cell r="A626">
            <v>42968</v>
          </cell>
          <cell r="B626">
            <v>2425.5</v>
          </cell>
          <cell r="C626">
            <v>2430.58</v>
          </cell>
          <cell r="D626">
            <v>2417.35</v>
          </cell>
          <cell r="E626">
            <v>2428.37</v>
          </cell>
          <cell r="F626">
            <v>2428.37</v>
          </cell>
        </row>
        <row r="627">
          <cell r="A627">
            <v>42969</v>
          </cell>
          <cell r="B627">
            <v>2433.75</v>
          </cell>
          <cell r="C627">
            <v>2454.77</v>
          </cell>
          <cell r="D627">
            <v>2433.67</v>
          </cell>
          <cell r="E627">
            <v>2452.5100000000002</v>
          </cell>
          <cell r="F627">
            <v>2452.5100000000002</v>
          </cell>
        </row>
        <row r="628">
          <cell r="A628">
            <v>42970</v>
          </cell>
          <cell r="B628">
            <v>2444.88</v>
          </cell>
          <cell r="C628">
            <v>2448.91</v>
          </cell>
          <cell r="D628">
            <v>2441.42</v>
          </cell>
          <cell r="E628">
            <v>2444.04</v>
          </cell>
          <cell r="F628">
            <v>2444.04</v>
          </cell>
        </row>
        <row r="629">
          <cell r="A629">
            <v>42971</v>
          </cell>
          <cell r="B629">
            <v>2447.91</v>
          </cell>
          <cell r="C629">
            <v>2450.39</v>
          </cell>
          <cell r="D629">
            <v>2436.19</v>
          </cell>
          <cell r="E629">
            <v>2438.9699999999998</v>
          </cell>
          <cell r="F629">
            <v>2438.9699999999998</v>
          </cell>
        </row>
        <row r="630">
          <cell r="A630">
            <v>42972</v>
          </cell>
          <cell r="B630">
            <v>2444.7199999999998</v>
          </cell>
          <cell r="C630">
            <v>2453.96</v>
          </cell>
          <cell r="D630">
            <v>2442.2199999999998</v>
          </cell>
          <cell r="E630">
            <v>2443.0500000000002</v>
          </cell>
          <cell r="F630">
            <v>2443.0500000000002</v>
          </cell>
        </row>
        <row r="631">
          <cell r="A631">
            <v>42975</v>
          </cell>
          <cell r="B631">
            <v>2447.35</v>
          </cell>
          <cell r="C631">
            <v>2449.12</v>
          </cell>
          <cell r="D631">
            <v>2439.0300000000002</v>
          </cell>
          <cell r="E631">
            <v>2444.2399999999998</v>
          </cell>
          <cell r="F631">
            <v>2444.2399999999998</v>
          </cell>
        </row>
        <row r="632">
          <cell r="A632">
            <v>42976</v>
          </cell>
          <cell r="B632">
            <v>2431.94</v>
          </cell>
          <cell r="C632">
            <v>2449.19</v>
          </cell>
          <cell r="D632">
            <v>2428.1999999999998</v>
          </cell>
          <cell r="E632">
            <v>2446.3000000000002</v>
          </cell>
          <cell r="F632">
            <v>2446.3000000000002</v>
          </cell>
        </row>
        <row r="633">
          <cell r="A633">
            <v>42977</v>
          </cell>
          <cell r="B633">
            <v>2446.06</v>
          </cell>
          <cell r="C633">
            <v>2460.31</v>
          </cell>
          <cell r="D633">
            <v>2443.77</v>
          </cell>
          <cell r="E633">
            <v>2457.59</v>
          </cell>
          <cell r="F633">
            <v>2457.59</v>
          </cell>
        </row>
        <row r="634">
          <cell r="A634">
            <v>42978</v>
          </cell>
          <cell r="B634">
            <v>2462.65</v>
          </cell>
          <cell r="C634">
            <v>2475.0100000000002</v>
          </cell>
          <cell r="D634">
            <v>2462.65</v>
          </cell>
          <cell r="E634">
            <v>2471.65</v>
          </cell>
          <cell r="F634">
            <v>2471.65</v>
          </cell>
        </row>
        <row r="635">
          <cell r="A635">
            <v>42979</v>
          </cell>
          <cell r="B635">
            <v>2474.42</v>
          </cell>
          <cell r="C635">
            <v>2480.38</v>
          </cell>
          <cell r="D635">
            <v>2473.85</v>
          </cell>
          <cell r="E635">
            <v>2476.5500000000002</v>
          </cell>
          <cell r="F635">
            <v>2476.5500000000002</v>
          </cell>
        </row>
        <row r="636">
          <cell r="A636">
            <v>42983</v>
          </cell>
          <cell r="B636">
            <v>2470.35</v>
          </cell>
          <cell r="C636">
            <v>2471.9699999999998</v>
          </cell>
          <cell r="D636">
            <v>2446.5500000000002</v>
          </cell>
          <cell r="E636">
            <v>2457.85</v>
          </cell>
          <cell r="F636">
            <v>2457.85</v>
          </cell>
        </row>
        <row r="637">
          <cell r="A637">
            <v>42984</v>
          </cell>
          <cell r="B637">
            <v>2463.83</v>
          </cell>
          <cell r="C637">
            <v>2469.64</v>
          </cell>
          <cell r="D637">
            <v>2459.1999999999998</v>
          </cell>
          <cell r="E637">
            <v>2465.54</v>
          </cell>
          <cell r="F637">
            <v>2465.54</v>
          </cell>
        </row>
        <row r="638">
          <cell r="A638">
            <v>42985</v>
          </cell>
          <cell r="B638">
            <v>2468.06</v>
          </cell>
          <cell r="C638">
            <v>2468.62</v>
          </cell>
          <cell r="D638">
            <v>2460.29</v>
          </cell>
          <cell r="E638">
            <v>2465.1</v>
          </cell>
          <cell r="F638">
            <v>2465.1</v>
          </cell>
        </row>
        <row r="639">
          <cell r="A639">
            <v>42986</v>
          </cell>
          <cell r="B639">
            <v>2462.25</v>
          </cell>
          <cell r="C639">
            <v>2467.11</v>
          </cell>
          <cell r="D639">
            <v>2459.4</v>
          </cell>
          <cell r="E639">
            <v>2461.4299999999998</v>
          </cell>
          <cell r="F639">
            <v>2461.4299999999998</v>
          </cell>
        </row>
        <row r="640">
          <cell r="A640">
            <v>42989</v>
          </cell>
          <cell r="B640">
            <v>2474.52</v>
          </cell>
          <cell r="C640">
            <v>2488.9499999999998</v>
          </cell>
          <cell r="D640">
            <v>2474.52</v>
          </cell>
          <cell r="E640">
            <v>2488.11</v>
          </cell>
          <cell r="F640">
            <v>2488.11</v>
          </cell>
        </row>
        <row r="641">
          <cell r="A641">
            <v>42990</v>
          </cell>
          <cell r="B641">
            <v>2491.94</v>
          </cell>
          <cell r="C641">
            <v>2496.77</v>
          </cell>
          <cell r="D641">
            <v>2490.37</v>
          </cell>
          <cell r="E641">
            <v>2496.48</v>
          </cell>
          <cell r="F641">
            <v>2496.48</v>
          </cell>
        </row>
        <row r="642">
          <cell r="A642">
            <v>42991</v>
          </cell>
          <cell r="B642">
            <v>2493.89</v>
          </cell>
          <cell r="C642">
            <v>2498.37</v>
          </cell>
          <cell r="D642">
            <v>2492.14</v>
          </cell>
          <cell r="E642">
            <v>2498.37</v>
          </cell>
          <cell r="F642">
            <v>2498.37</v>
          </cell>
        </row>
        <row r="643">
          <cell r="A643">
            <v>42992</v>
          </cell>
          <cell r="B643">
            <v>2494.56</v>
          </cell>
          <cell r="C643">
            <v>2498.4299999999998</v>
          </cell>
          <cell r="D643">
            <v>2491.35</v>
          </cell>
          <cell r="E643">
            <v>2495.62</v>
          </cell>
          <cell r="F643">
            <v>2495.62</v>
          </cell>
        </row>
        <row r="644">
          <cell r="A644">
            <v>42993</v>
          </cell>
          <cell r="B644">
            <v>2495.67</v>
          </cell>
          <cell r="C644">
            <v>2500.23</v>
          </cell>
          <cell r="D644">
            <v>2493.16</v>
          </cell>
          <cell r="E644">
            <v>2500.23</v>
          </cell>
          <cell r="F644">
            <v>2500.23</v>
          </cell>
        </row>
        <row r="645">
          <cell r="A645">
            <v>42996</v>
          </cell>
          <cell r="B645">
            <v>2502.5100000000002</v>
          </cell>
          <cell r="C645">
            <v>2508.3200000000002</v>
          </cell>
          <cell r="D645">
            <v>2499.92</v>
          </cell>
          <cell r="E645">
            <v>2503.87</v>
          </cell>
          <cell r="F645">
            <v>2503.87</v>
          </cell>
        </row>
        <row r="646">
          <cell r="A646">
            <v>42997</v>
          </cell>
          <cell r="B646">
            <v>2506.29</v>
          </cell>
          <cell r="C646">
            <v>2507.84</v>
          </cell>
          <cell r="D646">
            <v>2503.19</v>
          </cell>
          <cell r="E646">
            <v>2506.65</v>
          </cell>
          <cell r="F646">
            <v>2506.65</v>
          </cell>
        </row>
        <row r="647">
          <cell r="A647">
            <v>42998</v>
          </cell>
          <cell r="B647">
            <v>2506.84</v>
          </cell>
          <cell r="C647">
            <v>2508.85</v>
          </cell>
          <cell r="D647">
            <v>2496.67</v>
          </cell>
          <cell r="E647">
            <v>2508.2399999999998</v>
          </cell>
          <cell r="F647">
            <v>2508.2399999999998</v>
          </cell>
        </row>
        <row r="648">
          <cell r="A648">
            <v>42999</v>
          </cell>
          <cell r="B648">
            <v>2507.16</v>
          </cell>
          <cell r="C648">
            <v>2507.16</v>
          </cell>
          <cell r="D648">
            <v>2499</v>
          </cell>
          <cell r="E648">
            <v>2500.6</v>
          </cell>
          <cell r="F648">
            <v>2500.6</v>
          </cell>
        </row>
        <row r="649">
          <cell r="A649">
            <v>43000</v>
          </cell>
          <cell r="B649">
            <v>2497.2600000000002</v>
          </cell>
          <cell r="C649">
            <v>2503.4699999999998</v>
          </cell>
          <cell r="D649">
            <v>2496.54</v>
          </cell>
          <cell r="E649">
            <v>2502.2199999999998</v>
          </cell>
          <cell r="F649">
            <v>2502.2199999999998</v>
          </cell>
        </row>
        <row r="650">
          <cell r="A650">
            <v>43003</v>
          </cell>
          <cell r="B650">
            <v>2499.39</v>
          </cell>
          <cell r="C650">
            <v>2502.54</v>
          </cell>
          <cell r="D650">
            <v>2488.0300000000002</v>
          </cell>
          <cell r="E650">
            <v>2496.66</v>
          </cell>
          <cell r="F650">
            <v>2496.66</v>
          </cell>
        </row>
        <row r="651">
          <cell r="A651">
            <v>43004</v>
          </cell>
          <cell r="B651">
            <v>2501.04</v>
          </cell>
          <cell r="C651">
            <v>2503.5100000000002</v>
          </cell>
          <cell r="D651">
            <v>2495.12</v>
          </cell>
          <cell r="E651">
            <v>2496.84</v>
          </cell>
          <cell r="F651">
            <v>2496.84</v>
          </cell>
        </row>
        <row r="652">
          <cell r="A652">
            <v>43005</v>
          </cell>
          <cell r="B652">
            <v>2503.3000000000002</v>
          </cell>
          <cell r="C652">
            <v>2511.75</v>
          </cell>
          <cell r="D652">
            <v>2495.91</v>
          </cell>
          <cell r="E652">
            <v>2507.04</v>
          </cell>
          <cell r="F652">
            <v>2507.04</v>
          </cell>
        </row>
        <row r="653">
          <cell r="A653">
            <v>43006</v>
          </cell>
          <cell r="B653">
            <v>2503.41</v>
          </cell>
          <cell r="C653">
            <v>2510.81</v>
          </cell>
          <cell r="D653">
            <v>2502.9299999999998</v>
          </cell>
          <cell r="E653">
            <v>2510.06</v>
          </cell>
          <cell r="F653">
            <v>2510.06</v>
          </cell>
        </row>
        <row r="654">
          <cell r="A654">
            <v>43007</v>
          </cell>
          <cell r="B654">
            <v>2509.96</v>
          </cell>
          <cell r="C654">
            <v>2519.44</v>
          </cell>
          <cell r="D654">
            <v>2507.9899999999998</v>
          </cell>
          <cell r="E654">
            <v>2519.36</v>
          </cell>
          <cell r="F654">
            <v>2519.36</v>
          </cell>
        </row>
        <row r="655">
          <cell r="A655">
            <v>43010</v>
          </cell>
          <cell r="B655">
            <v>2521.1999999999998</v>
          </cell>
          <cell r="C655">
            <v>2529.23</v>
          </cell>
          <cell r="D655">
            <v>2520.4</v>
          </cell>
          <cell r="E655">
            <v>2529.12</v>
          </cell>
          <cell r="F655">
            <v>2529.12</v>
          </cell>
        </row>
        <row r="656">
          <cell r="A656">
            <v>43011</v>
          </cell>
          <cell r="B656">
            <v>2530.34</v>
          </cell>
          <cell r="C656">
            <v>2535.13</v>
          </cell>
          <cell r="D656">
            <v>2528.85</v>
          </cell>
          <cell r="E656">
            <v>2534.58</v>
          </cell>
          <cell r="F656">
            <v>2534.58</v>
          </cell>
        </row>
        <row r="657">
          <cell r="A657">
            <v>43012</v>
          </cell>
          <cell r="B657">
            <v>2533.48</v>
          </cell>
          <cell r="C657">
            <v>2540.5300000000002</v>
          </cell>
          <cell r="D657">
            <v>2531.8000000000002</v>
          </cell>
          <cell r="E657">
            <v>2537.7399999999998</v>
          </cell>
          <cell r="F657">
            <v>2537.7399999999998</v>
          </cell>
        </row>
        <row r="658">
          <cell r="A658">
            <v>43013</v>
          </cell>
          <cell r="B658">
            <v>2540.86</v>
          </cell>
          <cell r="C658">
            <v>2552.5100000000002</v>
          </cell>
          <cell r="D658">
            <v>2540.02</v>
          </cell>
          <cell r="E658">
            <v>2552.0700000000002</v>
          </cell>
          <cell r="F658">
            <v>2552.0700000000002</v>
          </cell>
        </row>
        <row r="659">
          <cell r="A659">
            <v>43014</v>
          </cell>
          <cell r="B659">
            <v>2547.44</v>
          </cell>
          <cell r="C659">
            <v>2549.41</v>
          </cell>
          <cell r="D659">
            <v>2543.79</v>
          </cell>
          <cell r="E659">
            <v>2549.33</v>
          </cell>
          <cell r="F659">
            <v>2549.33</v>
          </cell>
        </row>
        <row r="660">
          <cell r="A660">
            <v>43017</v>
          </cell>
          <cell r="B660">
            <v>2551.39</v>
          </cell>
          <cell r="C660">
            <v>2551.8200000000002</v>
          </cell>
          <cell r="D660">
            <v>2541.6</v>
          </cell>
          <cell r="E660">
            <v>2544.73</v>
          </cell>
          <cell r="F660">
            <v>2544.73</v>
          </cell>
        </row>
        <row r="661">
          <cell r="A661">
            <v>43018</v>
          </cell>
          <cell r="B661">
            <v>2549.9899999999998</v>
          </cell>
          <cell r="C661">
            <v>2555.23</v>
          </cell>
          <cell r="D661">
            <v>2544.86</v>
          </cell>
          <cell r="E661">
            <v>2550.64</v>
          </cell>
          <cell r="F661">
            <v>2550.64</v>
          </cell>
        </row>
        <row r="662">
          <cell r="A662">
            <v>43019</v>
          </cell>
          <cell r="B662">
            <v>2550.62</v>
          </cell>
          <cell r="C662">
            <v>2555.2399999999998</v>
          </cell>
          <cell r="D662">
            <v>2547.9499999999998</v>
          </cell>
          <cell r="E662">
            <v>2555.2399999999998</v>
          </cell>
          <cell r="F662">
            <v>2555.2399999999998</v>
          </cell>
        </row>
        <row r="663">
          <cell r="A663">
            <v>43020</v>
          </cell>
          <cell r="B663">
            <v>2552.88</v>
          </cell>
          <cell r="C663">
            <v>2555.33</v>
          </cell>
          <cell r="D663">
            <v>2548.31</v>
          </cell>
          <cell r="E663">
            <v>2550.9299999999998</v>
          </cell>
          <cell r="F663">
            <v>2550.9299999999998</v>
          </cell>
        </row>
        <row r="664">
          <cell r="A664">
            <v>43021</v>
          </cell>
          <cell r="B664">
            <v>2555.66</v>
          </cell>
          <cell r="C664">
            <v>2557.65</v>
          </cell>
          <cell r="D664">
            <v>2552.09</v>
          </cell>
          <cell r="E664">
            <v>2553.17</v>
          </cell>
          <cell r="F664">
            <v>2553.17</v>
          </cell>
        </row>
        <row r="665">
          <cell r="A665">
            <v>43024</v>
          </cell>
          <cell r="B665">
            <v>2555.5700000000002</v>
          </cell>
          <cell r="C665">
            <v>2559.4699999999998</v>
          </cell>
          <cell r="D665">
            <v>2552.64</v>
          </cell>
          <cell r="E665">
            <v>2557.64</v>
          </cell>
          <cell r="F665">
            <v>2557.64</v>
          </cell>
        </row>
        <row r="666">
          <cell r="A666">
            <v>43025</v>
          </cell>
          <cell r="B666">
            <v>2557.17</v>
          </cell>
          <cell r="C666">
            <v>2559.71</v>
          </cell>
          <cell r="D666">
            <v>2554.69</v>
          </cell>
          <cell r="E666">
            <v>2559.36</v>
          </cell>
          <cell r="F666">
            <v>2559.36</v>
          </cell>
        </row>
        <row r="667">
          <cell r="A667">
            <v>43026</v>
          </cell>
          <cell r="B667">
            <v>2562.87</v>
          </cell>
          <cell r="C667">
            <v>2564.11</v>
          </cell>
          <cell r="D667">
            <v>2559.67</v>
          </cell>
          <cell r="E667">
            <v>2561.2600000000002</v>
          </cell>
          <cell r="F667">
            <v>2561.2600000000002</v>
          </cell>
        </row>
        <row r="668">
          <cell r="A668">
            <v>43027</v>
          </cell>
          <cell r="B668">
            <v>2553.39</v>
          </cell>
          <cell r="C668">
            <v>2562.36</v>
          </cell>
          <cell r="D668">
            <v>2547.92</v>
          </cell>
          <cell r="E668">
            <v>2562.1</v>
          </cell>
          <cell r="F668">
            <v>2562.1</v>
          </cell>
        </row>
        <row r="669">
          <cell r="A669">
            <v>43028</v>
          </cell>
          <cell r="B669">
            <v>2567.56</v>
          </cell>
          <cell r="C669">
            <v>2575.44</v>
          </cell>
          <cell r="D669">
            <v>2567.56</v>
          </cell>
          <cell r="E669">
            <v>2575.21</v>
          </cell>
          <cell r="F669">
            <v>2575.21</v>
          </cell>
        </row>
        <row r="670">
          <cell r="A670">
            <v>43031</v>
          </cell>
          <cell r="B670">
            <v>2578.08</v>
          </cell>
          <cell r="C670">
            <v>2578.29</v>
          </cell>
          <cell r="D670">
            <v>2564.33</v>
          </cell>
          <cell r="E670">
            <v>2564.98</v>
          </cell>
          <cell r="F670">
            <v>2564.98</v>
          </cell>
        </row>
        <row r="671">
          <cell r="A671">
            <v>43032</v>
          </cell>
          <cell r="B671">
            <v>2568.66</v>
          </cell>
          <cell r="C671">
            <v>2572.1799999999998</v>
          </cell>
          <cell r="D671">
            <v>2565.58</v>
          </cell>
          <cell r="E671">
            <v>2569.13</v>
          </cell>
          <cell r="F671">
            <v>2569.13</v>
          </cell>
        </row>
        <row r="672">
          <cell r="A672">
            <v>43033</v>
          </cell>
          <cell r="B672">
            <v>2566.52</v>
          </cell>
          <cell r="C672">
            <v>2567.4</v>
          </cell>
          <cell r="D672">
            <v>2544</v>
          </cell>
          <cell r="E672">
            <v>2557.15</v>
          </cell>
          <cell r="F672">
            <v>2557.15</v>
          </cell>
        </row>
        <row r="673">
          <cell r="A673">
            <v>43034</v>
          </cell>
          <cell r="B673">
            <v>2560.08</v>
          </cell>
          <cell r="C673">
            <v>2567.0700000000002</v>
          </cell>
          <cell r="D673">
            <v>2559.8000000000002</v>
          </cell>
          <cell r="E673">
            <v>2560.4</v>
          </cell>
          <cell r="F673">
            <v>2560.4</v>
          </cell>
        </row>
        <row r="674">
          <cell r="A674">
            <v>43035</v>
          </cell>
          <cell r="B674">
            <v>2570.2600000000002</v>
          </cell>
          <cell r="C674">
            <v>2582.98</v>
          </cell>
          <cell r="D674">
            <v>2565.94</v>
          </cell>
          <cell r="E674">
            <v>2581.0700000000002</v>
          </cell>
          <cell r="F674">
            <v>2581.0700000000002</v>
          </cell>
        </row>
        <row r="675">
          <cell r="A675">
            <v>43038</v>
          </cell>
          <cell r="B675">
            <v>2577.75</v>
          </cell>
          <cell r="C675">
            <v>2580.0300000000002</v>
          </cell>
          <cell r="D675">
            <v>2568.25</v>
          </cell>
          <cell r="E675">
            <v>2572.83</v>
          </cell>
          <cell r="F675">
            <v>2572.83</v>
          </cell>
        </row>
        <row r="676">
          <cell r="A676">
            <v>43039</v>
          </cell>
          <cell r="B676">
            <v>2575.9899999999998</v>
          </cell>
          <cell r="C676">
            <v>2578.29</v>
          </cell>
          <cell r="D676">
            <v>2572.15</v>
          </cell>
          <cell r="E676">
            <v>2575.2600000000002</v>
          </cell>
          <cell r="F676">
            <v>2575.2600000000002</v>
          </cell>
        </row>
        <row r="677">
          <cell r="A677">
            <v>43040</v>
          </cell>
          <cell r="B677">
            <v>2583.21</v>
          </cell>
          <cell r="C677">
            <v>2588.4</v>
          </cell>
          <cell r="D677">
            <v>2574.92</v>
          </cell>
          <cell r="E677">
            <v>2579.36</v>
          </cell>
          <cell r="F677">
            <v>2579.36</v>
          </cell>
        </row>
        <row r="678">
          <cell r="A678">
            <v>43041</v>
          </cell>
          <cell r="B678">
            <v>2579.46</v>
          </cell>
          <cell r="C678">
            <v>2581.11</v>
          </cell>
          <cell r="D678">
            <v>2566.17</v>
          </cell>
          <cell r="E678">
            <v>2579.85</v>
          </cell>
          <cell r="F678">
            <v>2579.85</v>
          </cell>
        </row>
        <row r="679">
          <cell r="A679">
            <v>43042</v>
          </cell>
          <cell r="B679">
            <v>2581.9299999999998</v>
          </cell>
          <cell r="C679">
            <v>2588.42</v>
          </cell>
          <cell r="D679">
            <v>2576.77</v>
          </cell>
          <cell r="E679">
            <v>2587.84</v>
          </cell>
          <cell r="F679">
            <v>2587.84</v>
          </cell>
        </row>
        <row r="680">
          <cell r="A680">
            <v>43045</v>
          </cell>
          <cell r="B680">
            <v>2587.4699999999998</v>
          </cell>
          <cell r="C680">
            <v>2593.38</v>
          </cell>
          <cell r="D680">
            <v>2585.66</v>
          </cell>
          <cell r="E680">
            <v>2591.13</v>
          </cell>
          <cell r="F680">
            <v>2591.13</v>
          </cell>
        </row>
        <row r="681">
          <cell r="A681">
            <v>43046</v>
          </cell>
          <cell r="B681">
            <v>2592.11</v>
          </cell>
          <cell r="C681">
            <v>2597.02</v>
          </cell>
          <cell r="D681">
            <v>2584.35</v>
          </cell>
          <cell r="E681">
            <v>2590.64</v>
          </cell>
          <cell r="F681">
            <v>2590.64</v>
          </cell>
        </row>
        <row r="682">
          <cell r="A682">
            <v>43047</v>
          </cell>
          <cell r="B682">
            <v>2588.71</v>
          </cell>
          <cell r="C682">
            <v>2595.4699999999998</v>
          </cell>
          <cell r="D682">
            <v>2585.02</v>
          </cell>
          <cell r="E682">
            <v>2594.38</v>
          </cell>
          <cell r="F682">
            <v>2594.38</v>
          </cell>
        </row>
        <row r="683">
          <cell r="A683">
            <v>43048</v>
          </cell>
          <cell r="B683">
            <v>2584</v>
          </cell>
          <cell r="C683">
            <v>2586.5</v>
          </cell>
          <cell r="D683">
            <v>2566.33</v>
          </cell>
          <cell r="E683">
            <v>2584.62</v>
          </cell>
          <cell r="F683">
            <v>2584.62</v>
          </cell>
        </row>
        <row r="684">
          <cell r="A684">
            <v>43049</v>
          </cell>
          <cell r="B684">
            <v>2580.1799999999998</v>
          </cell>
          <cell r="C684">
            <v>2583.81</v>
          </cell>
          <cell r="D684">
            <v>2575.5700000000002</v>
          </cell>
          <cell r="E684">
            <v>2582.3000000000002</v>
          </cell>
          <cell r="F684">
            <v>2582.3000000000002</v>
          </cell>
        </row>
        <row r="685">
          <cell r="A685">
            <v>43052</v>
          </cell>
          <cell r="B685">
            <v>2576.5300000000002</v>
          </cell>
          <cell r="C685">
            <v>2587.66</v>
          </cell>
          <cell r="D685">
            <v>2574.48</v>
          </cell>
          <cell r="E685">
            <v>2584.84</v>
          </cell>
          <cell r="F685">
            <v>2584.84</v>
          </cell>
        </row>
        <row r="686">
          <cell r="A686">
            <v>43053</v>
          </cell>
          <cell r="B686">
            <v>2577.75</v>
          </cell>
          <cell r="C686">
            <v>2579.66</v>
          </cell>
          <cell r="D686">
            <v>2566.56</v>
          </cell>
          <cell r="E686">
            <v>2578.87</v>
          </cell>
          <cell r="F686">
            <v>2578.87</v>
          </cell>
        </row>
        <row r="687">
          <cell r="A687">
            <v>43054</v>
          </cell>
          <cell r="B687">
            <v>2569.4499999999998</v>
          </cell>
          <cell r="C687">
            <v>2572.84</v>
          </cell>
          <cell r="D687">
            <v>2557.4499999999998</v>
          </cell>
          <cell r="E687">
            <v>2564.62</v>
          </cell>
          <cell r="F687">
            <v>2564.62</v>
          </cell>
        </row>
        <row r="688">
          <cell r="A688">
            <v>43055</v>
          </cell>
          <cell r="B688">
            <v>2572.9499999999998</v>
          </cell>
          <cell r="C688">
            <v>2590.09</v>
          </cell>
          <cell r="D688">
            <v>2572.9499999999998</v>
          </cell>
          <cell r="E688">
            <v>2585.64</v>
          </cell>
          <cell r="F688">
            <v>2585.64</v>
          </cell>
        </row>
        <row r="689">
          <cell r="A689">
            <v>43056</v>
          </cell>
          <cell r="B689">
            <v>2582.94</v>
          </cell>
          <cell r="C689">
            <v>2583.96</v>
          </cell>
          <cell r="D689">
            <v>2577.62</v>
          </cell>
          <cell r="E689">
            <v>2578.85</v>
          </cell>
          <cell r="F689">
            <v>2578.85</v>
          </cell>
        </row>
        <row r="690">
          <cell r="A690">
            <v>43059</v>
          </cell>
          <cell r="B690">
            <v>2579.4899999999998</v>
          </cell>
          <cell r="C690">
            <v>2584.64</v>
          </cell>
          <cell r="D690">
            <v>2578.2399999999998</v>
          </cell>
          <cell r="E690">
            <v>2582.14</v>
          </cell>
          <cell r="F690">
            <v>2582.14</v>
          </cell>
        </row>
        <row r="691">
          <cell r="A691">
            <v>43060</v>
          </cell>
          <cell r="B691">
            <v>2589.17</v>
          </cell>
          <cell r="C691">
            <v>2601.19</v>
          </cell>
          <cell r="D691">
            <v>2589.17</v>
          </cell>
          <cell r="E691">
            <v>2599.0300000000002</v>
          </cell>
          <cell r="F691">
            <v>2599.0300000000002</v>
          </cell>
        </row>
        <row r="692">
          <cell r="A692">
            <v>43061</v>
          </cell>
          <cell r="B692">
            <v>2600.31</v>
          </cell>
          <cell r="C692">
            <v>2600.94</v>
          </cell>
          <cell r="D692">
            <v>2595.23</v>
          </cell>
          <cell r="E692">
            <v>2597.08</v>
          </cell>
          <cell r="F692">
            <v>2597.08</v>
          </cell>
        </row>
        <row r="693">
          <cell r="A693">
            <v>43063</v>
          </cell>
          <cell r="B693">
            <v>2600.42</v>
          </cell>
          <cell r="C693">
            <v>2604.21</v>
          </cell>
          <cell r="D693">
            <v>2600.42</v>
          </cell>
          <cell r="E693">
            <v>2602.42</v>
          </cell>
          <cell r="F693">
            <v>2602.42</v>
          </cell>
        </row>
        <row r="694">
          <cell r="A694">
            <v>43066</v>
          </cell>
          <cell r="B694">
            <v>2602.66</v>
          </cell>
          <cell r="C694">
            <v>2606.41</v>
          </cell>
          <cell r="D694">
            <v>2598.87</v>
          </cell>
          <cell r="E694">
            <v>2601.42</v>
          </cell>
          <cell r="F694">
            <v>2601.42</v>
          </cell>
        </row>
        <row r="695">
          <cell r="A695">
            <v>43067</v>
          </cell>
          <cell r="B695">
            <v>2605.94</v>
          </cell>
          <cell r="C695">
            <v>2627.69</v>
          </cell>
          <cell r="D695">
            <v>2605.44</v>
          </cell>
          <cell r="E695">
            <v>2627.04</v>
          </cell>
          <cell r="F695">
            <v>2627.04</v>
          </cell>
        </row>
        <row r="696">
          <cell r="A696">
            <v>43068</v>
          </cell>
          <cell r="B696">
            <v>2627.82</v>
          </cell>
          <cell r="C696">
            <v>2634.89</v>
          </cell>
          <cell r="D696">
            <v>2620.3200000000002</v>
          </cell>
          <cell r="E696">
            <v>2626.07</v>
          </cell>
          <cell r="F696">
            <v>2626.07</v>
          </cell>
        </row>
        <row r="697">
          <cell r="A697">
            <v>43069</v>
          </cell>
          <cell r="B697">
            <v>2633.93</v>
          </cell>
          <cell r="C697">
            <v>2657.74</v>
          </cell>
          <cell r="D697">
            <v>2633.93</v>
          </cell>
          <cell r="E697">
            <v>2647.58</v>
          </cell>
          <cell r="F697">
            <v>2647.58</v>
          </cell>
        </row>
        <row r="698">
          <cell r="A698">
            <v>43070</v>
          </cell>
          <cell r="B698">
            <v>2645.1</v>
          </cell>
          <cell r="C698">
            <v>2650.62</v>
          </cell>
          <cell r="D698">
            <v>2605.52</v>
          </cell>
          <cell r="E698">
            <v>2642.22</v>
          </cell>
          <cell r="F698">
            <v>2642.22</v>
          </cell>
        </row>
        <row r="699">
          <cell r="A699">
            <v>43073</v>
          </cell>
          <cell r="B699">
            <v>2657.19</v>
          </cell>
          <cell r="C699">
            <v>2665.19</v>
          </cell>
          <cell r="D699">
            <v>2639.03</v>
          </cell>
          <cell r="E699">
            <v>2639.44</v>
          </cell>
          <cell r="F699">
            <v>2639.44</v>
          </cell>
        </row>
        <row r="700">
          <cell r="A700">
            <v>43074</v>
          </cell>
          <cell r="B700">
            <v>2639.78</v>
          </cell>
          <cell r="C700">
            <v>2648.72</v>
          </cell>
          <cell r="D700">
            <v>2627.73</v>
          </cell>
          <cell r="E700">
            <v>2629.57</v>
          </cell>
          <cell r="F700">
            <v>2629.57</v>
          </cell>
        </row>
        <row r="701">
          <cell r="A701">
            <v>43075</v>
          </cell>
          <cell r="B701">
            <v>2626.24</v>
          </cell>
          <cell r="C701">
            <v>2634.41</v>
          </cell>
          <cell r="D701">
            <v>2624.75</v>
          </cell>
          <cell r="E701">
            <v>2629.27</v>
          </cell>
          <cell r="F701">
            <v>2629.27</v>
          </cell>
        </row>
        <row r="702">
          <cell r="A702">
            <v>43076</v>
          </cell>
          <cell r="B702">
            <v>2628.38</v>
          </cell>
          <cell r="C702">
            <v>2640.99</v>
          </cell>
          <cell r="D702">
            <v>2626.53</v>
          </cell>
          <cell r="E702">
            <v>2636.98</v>
          </cell>
          <cell r="F702">
            <v>2636.98</v>
          </cell>
        </row>
        <row r="703">
          <cell r="A703">
            <v>43077</v>
          </cell>
          <cell r="B703">
            <v>2646.21</v>
          </cell>
          <cell r="C703">
            <v>2651.65</v>
          </cell>
          <cell r="D703">
            <v>2644.1</v>
          </cell>
          <cell r="E703">
            <v>2651.5</v>
          </cell>
          <cell r="F703">
            <v>2651.5</v>
          </cell>
        </row>
        <row r="704">
          <cell r="A704">
            <v>43080</v>
          </cell>
          <cell r="B704">
            <v>2652.19</v>
          </cell>
          <cell r="C704">
            <v>2660.33</v>
          </cell>
          <cell r="D704">
            <v>2651.47</v>
          </cell>
          <cell r="E704">
            <v>2659.99</v>
          </cell>
          <cell r="F704">
            <v>2659.99</v>
          </cell>
        </row>
        <row r="705">
          <cell r="A705">
            <v>43081</v>
          </cell>
          <cell r="B705">
            <v>2661.73</v>
          </cell>
          <cell r="C705">
            <v>2669.72</v>
          </cell>
          <cell r="D705">
            <v>2659.78</v>
          </cell>
          <cell r="E705">
            <v>2664.11</v>
          </cell>
          <cell r="F705">
            <v>2664.11</v>
          </cell>
        </row>
        <row r="706">
          <cell r="A706">
            <v>43082</v>
          </cell>
          <cell r="B706">
            <v>2667.59</v>
          </cell>
          <cell r="C706">
            <v>2671.88</v>
          </cell>
          <cell r="D706">
            <v>2662.85</v>
          </cell>
          <cell r="E706">
            <v>2662.85</v>
          </cell>
          <cell r="F706">
            <v>2662.85</v>
          </cell>
        </row>
        <row r="707">
          <cell r="A707">
            <v>43083</v>
          </cell>
          <cell r="B707">
            <v>2665.87</v>
          </cell>
          <cell r="C707">
            <v>2668.09</v>
          </cell>
          <cell r="D707">
            <v>2652.01</v>
          </cell>
          <cell r="E707">
            <v>2652.01</v>
          </cell>
          <cell r="F707">
            <v>2652.01</v>
          </cell>
        </row>
        <row r="708">
          <cell r="A708">
            <v>43084</v>
          </cell>
          <cell r="B708">
            <v>2660.63</v>
          </cell>
          <cell r="C708">
            <v>2679.63</v>
          </cell>
          <cell r="D708">
            <v>2659.14</v>
          </cell>
          <cell r="E708">
            <v>2675.81</v>
          </cell>
          <cell r="F708">
            <v>2675.81</v>
          </cell>
        </row>
        <row r="709">
          <cell r="A709">
            <v>43087</v>
          </cell>
          <cell r="B709">
            <v>2685.92</v>
          </cell>
          <cell r="C709">
            <v>2694.97</v>
          </cell>
          <cell r="D709">
            <v>2685.92</v>
          </cell>
          <cell r="E709">
            <v>2690.16</v>
          </cell>
          <cell r="F709">
            <v>2690.16</v>
          </cell>
        </row>
        <row r="710">
          <cell r="A710">
            <v>43088</v>
          </cell>
          <cell r="B710">
            <v>2692.71</v>
          </cell>
          <cell r="C710">
            <v>2694.44</v>
          </cell>
          <cell r="D710">
            <v>2680.74</v>
          </cell>
          <cell r="E710">
            <v>2681.47</v>
          </cell>
          <cell r="F710">
            <v>2681.47</v>
          </cell>
        </row>
        <row r="711">
          <cell r="A711">
            <v>43089</v>
          </cell>
          <cell r="B711">
            <v>2688.18</v>
          </cell>
          <cell r="C711">
            <v>2691.01</v>
          </cell>
          <cell r="D711">
            <v>2676.11</v>
          </cell>
          <cell r="E711">
            <v>2679.25</v>
          </cell>
          <cell r="F711">
            <v>2679.25</v>
          </cell>
        </row>
        <row r="712">
          <cell r="A712">
            <v>43090</v>
          </cell>
          <cell r="B712">
            <v>2683.02</v>
          </cell>
          <cell r="C712">
            <v>2692.64</v>
          </cell>
          <cell r="D712">
            <v>2682.4</v>
          </cell>
          <cell r="E712">
            <v>2684.57</v>
          </cell>
          <cell r="F712">
            <v>2684.57</v>
          </cell>
        </row>
        <row r="713">
          <cell r="A713">
            <v>43091</v>
          </cell>
          <cell r="B713">
            <v>2684.22</v>
          </cell>
          <cell r="C713">
            <v>2685.35</v>
          </cell>
          <cell r="D713">
            <v>2678.13</v>
          </cell>
          <cell r="E713">
            <v>2683.34</v>
          </cell>
          <cell r="F713">
            <v>2683.34</v>
          </cell>
        </row>
        <row r="714">
          <cell r="A714">
            <v>43095</v>
          </cell>
          <cell r="B714">
            <v>2679.09</v>
          </cell>
          <cell r="C714">
            <v>2682.74</v>
          </cell>
          <cell r="D714">
            <v>2677.96</v>
          </cell>
          <cell r="E714">
            <v>2680.5</v>
          </cell>
          <cell r="F714">
            <v>2680.5</v>
          </cell>
        </row>
        <row r="715">
          <cell r="A715">
            <v>43096</v>
          </cell>
          <cell r="B715">
            <v>2682.1</v>
          </cell>
          <cell r="C715">
            <v>2685.64</v>
          </cell>
          <cell r="D715">
            <v>2678.91</v>
          </cell>
          <cell r="E715">
            <v>2682.62</v>
          </cell>
          <cell r="F715">
            <v>2682.62</v>
          </cell>
        </row>
        <row r="716">
          <cell r="A716">
            <v>43097</v>
          </cell>
          <cell r="B716">
            <v>2686.1</v>
          </cell>
          <cell r="C716">
            <v>2687.66</v>
          </cell>
          <cell r="D716">
            <v>2682.69</v>
          </cell>
          <cell r="E716">
            <v>2687.54</v>
          </cell>
          <cell r="F716">
            <v>2687.54</v>
          </cell>
        </row>
        <row r="717">
          <cell r="A717">
            <v>43098</v>
          </cell>
          <cell r="B717">
            <v>2689.15</v>
          </cell>
          <cell r="C717">
            <v>2692.12</v>
          </cell>
          <cell r="D717">
            <v>2673.61</v>
          </cell>
          <cell r="E717">
            <v>2673.61</v>
          </cell>
          <cell r="F717">
            <v>2673.61</v>
          </cell>
        </row>
        <row r="718">
          <cell r="A718">
            <v>43102</v>
          </cell>
          <cell r="B718">
            <v>2683.73</v>
          </cell>
          <cell r="C718">
            <v>2695.89</v>
          </cell>
          <cell r="D718">
            <v>2682.36</v>
          </cell>
          <cell r="E718">
            <v>2695.81</v>
          </cell>
          <cell r="F718">
            <v>2695.81</v>
          </cell>
        </row>
        <row r="719">
          <cell r="A719">
            <v>43103</v>
          </cell>
          <cell r="B719">
            <v>2697.85</v>
          </cell>
          <cell r="C719">
            <v>2714.37</v>
          </cell>
          <cell r="D719">
            <v>2697.77</v>
          </cell>
          <cell r="E719">
            <v>2713.06</v>
          </cell>
          <cell r="F719">
            <v>2713.06</v>
          </cell>
        </row>
        <row r="720">
          <cell r="A720">
            <v>43104</v>
          </cell>
          <cell r="B720">
            <v>2719.31</v>
          </cell>
          <cell r="C720">
            <v>2729.29</v>
          </cell>
          <cell r="D720">
            <v>2719.07</v>
          </cell>
          <cell r="E720">
            <v>2723.99</v>
          </cell>
          <cell r="F720">
            <v>2723.99</v>
          </cell>
        </row>
        <row r="721">
          <cell r="A721">
            <v>43105</v>
          </cell>
          <cell r="B721">
            <v>2731.33</v>
          </cell>
          <cell r="C721">
            <v>2743.45</v>
          </cell>
          <cell r="D721">
            <v>2727.92</v>
          </cell>
          <cell r="E721">
            <v>2743.15</v>
          </cell>
          <cell r="F721">
            <v>2743.15</v>
          </cell>
        </row>
        <row r="722">
          <cell r="A722">
            <v>43108</v>
          </cell>
          <cell r="B722">
            <v>2742.67</v>
          </cell>
          <cell r="C722">
            <v>2748.51</v>
          </cell>
          <cell r="D722">
            <v>2737.6</v>
          </cell>
          <cell r="E722">
            <v>2747.71</v>
          </cell>
          <cell r="F722">
            <v>2747.71</v>
          </cell>
        </row>
        <row r="723">
          <cell r="A723">
            <v>43109</v>
          </cell>
          <cell r="B723">
            <v>2751.15</v>
          </cell>
          <cell r="C723">
            <v>2759.14</v>
          </cell>
          <cell r="D723">
            <v>2747.86</v>
          </cell>
          <cell r="E723">
            <v>2751.29</v>
          </cell>
          <cell r="F723">
            <v>2751.29</v>
          </cell>
        </row>
        <row r="724">
          <cell r="A724">
            <v>43110</v>
          </cell>
          <cell r="B724">
            <v>2745.55</v>
          </cell>
          <cell r="C724">
            <v>2750.8</v>
          </cell>
          <cell r="D724">
            <v>2736.06</v>
          </cell>
          <cell r="E724">
            <v>2748.23</v>
          </cell>
          <cell r="F724">
            <v>2748.23</v>
          </cell>
        </row>
        <row r="725">
          <cell r="A725">
            <v>43111</v>
          </cell>
          <cell r="B725">
            <v>2752.97</v>
          </cell>
          <cell r="C725">
            <v>2767.56</v>
          </cell>
          <cell r="D725">
            <v>2752.78</v>
          </cell>
          <cell r="E725">
            <v>2767.56</v>
          </cell>
          <cell r="F725">
            <v>2767.56</v>
          </cell>
        </row>
        <row r="726">
          <cell r="A726">
            <v>43112</v>
          </cell>
          <cell r="B726">
            <v>2770.18</v>
          </cell>
          <cell r="C726">
            <v>2787.85</v>
          </cell>
          <cell r="D726">
            <v>2769.64</v>
          </cell>
          <cell r="E726">
            <v>2786.24</v>
          </cell>
          <cell r="F726">
            <v>2786.24</v>
          </cell>
        </row>
        <row r="727">
          <cell r="A727">
            <v>43116</v>
          </cell>
          <cell r="B727">
            <v>2798.96</v>
          </cell>
          <cell r="C727">
            <v>2807.54</v>
          </cell>
          <cell r="D727">
            <v>2768.64</v>
          </cell>
          <cell r="E727">
            <v>2776.42</v>
          </cell>
          <cell r="F727">
            <v>2776.42</v>
          </cell>
        </row>
        <row r="728">
          <cell r="A728">
            <v>43117</v>
          </cell>
          <cell r="B728">
            <v>2784.99</v>
          </cell>
          <cell r="C728">
            <v>2807.04</v>
          </cell>
          <cell r="D728">
            <v>2778.38</v>
          </cell>
          <cell r="E728">
            <v>2802.56</v>
          </cell>
          <cell r="F728">
            <v>2802.56</v>
          </cell>
        </row>
        <row r="729">
          <cell r="A729">
            <v>43118</v>
          </cell>
          <cell r="B729">
            <v>2802.4</v>
          </cell>
          <cell r="C729">
            <v>2805.83</v>
          </cell>
          <cell r="D729">
            <v>2792.56</v>
          </cell>
          <cell r="E729">
            <v>2798.03</v>
          </cell>
          <cell r="F729">
            <v>2798.03</v>
          </cell>
        </row>
        <row r="730">
          <cell r="A730">
            <v>43119</v>
          </cell>
          <cell r="B730">
            <v>2802.6</v>
          </cell>
          <cell r="C730">
            <v>2810.33</v>
          </cell>
          <cell r="D730">
            <v>2798.08</v>
          </cell>
          <cell r="E730">
            <v>2810.3</v>
          </cell>
          <cell r="F730">
            <v>2810.3</v>
          </cell>
        </row>
        <row r="731">
          <cell r="A731">
            <v>43122</v>
          </cell>
          <cell r="B731">
            <v>2809.16</v>
          </cell>
          <cell r="C731">
            <v>2833.03</v>
          </cell>
          <cell r="D731">
            <v>2808.12</v>
          </cell>
          <cell r="E731">
            <v>2832.97</v>
          </cell>
          <cell r="F731">
            <v>2832.97</v>
          </cell>
        </row>
        <row r="732">
          <cell r="A732">
            <v>43123</v>
          </cell>
          <cell r="B732">
            <v>2835.05</v>
          </cell>
          <cell r="C732">
            <v>2842.24</v>
          </cell>
          <cell r="D732">
            <v>2830.59</v>
          </cell>
          <cell r="E732">
            <v>2839.13</v>
          </cell>
          <cell r="F732">
            <v>2839.13</v>
          </cell>
        </row>
        <row r="733">
          <cell r="A733">
            <v>43124</v>
          </cell>
          <cell r="B733">
            <v>2845.42</v>
          </cell>
          <cell r="C733">
            <v>2852.97</v>
          </cell>
          <cell r="D733">
            <v>2824.81</v>
          </cell>
          <cell r="E733">
            <v>2837.54</v>
          </cell>
          <cell r="F733">
            <v>2837.54</v>
          </cell>
        </row>
        <row r="734">
          <cell r="A734">
            <v>43125</v>
          </cell>
          <cell r="B734">
            <v>2846.24</v>
          </cell>
          <cell r="C734">
            <v>2848.56</v>
          </cell>
          <cell r="D734">
            <v>2830.94</v>
          </cell>
          <cell r="E734">
            <v>2839.25</v>
          </cell>
          <cell r="F734">
            <v>2839.25</v>
          </cell>
        </row>
        <row r="735">
          <cell r="A735">
            <v>43126</v>
          </cell>
          <cell r="B735">
            <v>2847.48</v>
          </cell>
          <cell r="C735">
            <v>2872.87</v>
          </cell>
          <cell r="D735">
            <v>2846.18</v>
          </cell>
          <cell r="E735">
            <v>2872.87</v>
          </cell>
          <cell r="F735">
            <v>2872.87</v>
          </cell>
        </row>
        <row r="736">
          <cell r="A736">
            <v>43129</v>
          </cell>
          <cell r="B736">
            <v>2867.23</v>
          </cell>
          <cell r="C736">
            <v>2870.62</v>
          </cell>
          <cell r="D736">
            <v>2851.48</v>
          </cell>
          <cell r="E736">
            <v>2853.53</v>
          </cell>
          <cell r="F736">
            <v>2853.53</v>
          </cell>
        </row>
        <row r="737">
          <cell r="A737">
            <v>43130</v>
          </cell>
          <cell r="B737">
            <v>2832.74</v>
          </cell>
          <cell r="C737">
            <v>2837.75</v>
          </cell>
          <cell r="D737">
            <v>2818.27</v>
          </cell>
          <cell r="E737">
            <v>2822.43</v>
          </cell>
          <cell r="F737">
            <v>2822.43</v>
          </cell>
        </row>
        <row r="738">
          <cell r="A738">
            <v>43131</v>
          </cell>
          <cell r="B738">
            <v>2832.41</v>
          </cell>
          <cell r="C738">
            <v>2839.26</v>
          </cell>
          <cell r="D738">
            <v>2813.04</v>
          </cell>
          <cell r="E738">
            <v>2823.81</v>
          </cell>
          <cell r="F738">
            <v>2823.81</v>
          </cell>
        </row>
        <row r="739">
          <cell r="A739">
            <v>43132</v>
          </cell>
          <cell r="B739">
            <v>2816.45</v>
          </cell>
          <cell r="C739">
            <v>2835.96</v>
          </cell>
          <cell r="D739">
            <v>2812.7</v>
          </cell>
          <cell r="E739">
            <v>2821.98</v>
          </cell>
          <cell r="F739">
            <v>2821.98</v>
          </cell>
        </row>
        <row r="740">
          <cell r="A740">
            <v>43133</v>
          </cell>
          <cell r="B740">
            <v>2808.92</v>
          </cell>
          <cell r="C740">
            <v>2808.92</v>
          </cell>
          <cell r="D740">
            <v>2759.97</v>
          </cell>
          <cell r="E740">
            <v>2762.13</v>
          </cell>
          <cell r="F740">
            <v>2762.13</v>
          </cell>
        </row>
        <row r="741">
          <cell r="A741">
            <v>43136</v>
          </cell>
          <cell r="B741">
            <v>2741.06</v>
          </cell>
          <cell r="C741">
            <v>2763.39</v>
          </cell>
          <cell r="D741">
            <v>2638.17</v>
          </cell>
          <cell r="E741">
            <v>2648.94</v>
          </cell>
          <cell r="F741">
            <v>2648.94</v>
          </cell>
        </row>
        <row r="742">
          <cell r="A742">
            <v>43137</v>
          </cell>
          <cell r="B742">
            <v>2614.7800000000002</v>
          </cell>
          <cell r="C742">
            <v>2701.04</v>
          </cell>
          <cell r="D742">
            <v>2593.0700000000002</v>
          </cell>
          <cell r="E742">
            <v>2695.14</v>
          </cell>
          <cell r="F742">
            <v>2695.14</v>
          </cell>
        </row>
        <row r="743">
          <cell r="A743">
            <v>43138</v>
          </cell>
          <cell r="B743">
            <v>2690.95</v>
          </cell>
          <cell r="C743">
            <v>2727.67</v>
          </cell>
          <cell r="D743">
            <v>2681.33</v>
          </cell>
          <cell r="E743">
            <v>2681.66</v>
          </cell>
          <cell r="F743">
            <v>2681.66</v>
          </cell>
        </row>
        <row r="744">
          <cell r="A744">
            <v>43139</v>
          </cell>
          <cell r="B744">
            <v>2685.01</v>
          </cell>
          <cell r="C744">
            <v>2685.27</v>
          </cell>
          <cell r="D744">
            <v>2580.56</v>
          </cell>
          <cell r="E744">
            <v>2581</v>
          </cell>
          <cell r="F744">
            <v>2581</v>
          </cell>
        </row>
        <row r="745">
          <cell r="A745">
            <v>43140</v>
          </cell>
          <cell r="B745">
            <v>2601.7800000000002</v>
          </cell>
          <cell r="C745">
            <v>2638.67</v>
          </cell>
          <cell r="D745">
            <v>2532.69</v>
          </cell>
          <cell r="E745">
            <v>2619.5500000000002</v>
          </cell>
          <cell r="F745">
            <v>2619.5500000000002</v>
          </cell>
        </row>
        <row r="746">
          <cell r="A746">
            <v>43143</v>
          </cell>
          <cell r="B746">
            <v>2636.75</v>
          </cell>
          <cell r="C746">
            <v>2672.61</v>
          </cell>
          <cell r="D746">
            <v>2622.45</v>
          </cell>
          <cell r="E746">
            <v>2656</v>
          </cell>
          <cell r="F746">
            <v>2656</v>
          </cell>
        </row>
        <row r="747">
          <cell r="A747">
            <v>43144</v>
          </cell>
          <cell r="B747">
            <v>2646.27</v>
          </cell>
          <cell r="C747">
            <v>2668.84</v>
          </cell>
          <cell r="D747">
            <v>2637.08</v>
          </cell>
          <cell r="E747">
            <v>2662.94</v>
          </cell>
          <cell r="F747">
            <v>2662.94</v>
          </cell>
        </row>
        <row r="748">
          <cell r="A748">
            <v>43145</v>
          </cell>
          <cell r="B748">
            <v>2651.21</v>
          </cell>
          <cell r="C748">
            <v>2702.1</v>
          </cell>
          <cell r="D748">
            <v>2648.87</v>
          </cell>
          <cell r="E748">
            <v>2698.63</v>
          </cell>
          <cell r="F748">
            <v>2698.63</v>
          </cell>
        </row>
        <row r="749">
          <cell r="A749">
            <v>43146</v>
          </cell>
          <cell r="B749">
            <v>2713.46</v>
          </cell>
          <cell r="C749">
            <v>2731.51</v>
          </cell>
          <cell r="D749">
            <v>2689.82</v>
          </cell>
          <cell r="E749">
            <v>2731.2</v>
          </cell>
          <cell r="F749">
            <v>2731.2</v>
          </cell>
        </row>
        <row r="750">
          <cell r="A750">
            <v>43147</v>
          </cell>
          <cell r="B750">
            <v>2727.14</v>
          </cell>
          <cell r="C750">
            <v>2754.42</v>
          </cell>
          <cell r="D750">
            <v>2725.11</v>
          </cell>
          <cell r="E750">
            <v>2732.22</v>
          </cell>
          <cell r="F750">
            <v>2732.22</v>
          </cell>
        </row>
        <row r="751">
          <cell r="A751">
            <v>43151</v>
          </cell>
          <cell r="B751">
            <v>2722.99</v>
          </cell>
          <cell r="C751">
            <v>2737.6</v>
          </cell>
          <cell r="D751">
            <v>2706.76</v>
          </cell>
          <cell r="E751">
            <v>2716.26</v>
          </cell>
          <cell r="F751">
            <v>2716.26</v>
          </cell>
        </row>
        <row r="752">
          <cell r="A752">
            <v>43152</v>
          </cell>
          <cell r="B752">
            <v>2720.53</v>
          </cell>
          <cell r="C752">
            <v>2747.75</v>
          </cell>
          <cell r="D752">
            <v>2701.29</v>
          </cell>
          <cell r="E752">
            <v>2701.33</v>
          </cell>
          <cell r="F752">
            <v>2701.33</v>
          </cell>
        </row>
        <row r="753">
          <cell r="A753">
            <v>43153</v>
          </cell>
          <cell r="B753">
            <v>2710.42</v>
          </cell>
          <cell r="C753">
            <v>2731.26</v>
          </cell>
          <cell r="D753">
            <v>2697.77</v>
          </cell>
          <cell r="E753">
            <v>2703.96</v>
          </cell>
          <cell r="F753">
            <v>2703.96</v>
          </cell>
        </row>
        <row r="754">
          <cell r="A754">
            <v>43154</v>
          </cell>
          <cell r="B754">
            <v>2715.8</v>
          </cell>
          <cell r="C754">
            <v>2747.76</v>
          </cell>
          <cell r="D754">
            <v>2713.74</v>
          </cell>
          <cell r="E754">
            <v>2747.3</v>
          </cell>
          <cell r="F754">
            <v>2747.3</v>
          </cell>
        </row>
        <row r="755">
          <cell r="A755">
            <v>43157</v>
          </cell>
          <cell r="B755">
            <v>2757.37</v>
          </cell>
          <cell r="C755">
            <v>2780.64</v>
          </cell>
          <cell r="D755">
            <v>2753.78</v>
          </cell>
          <cell r="E755">
            <v>2779.6</v>
          </cell>
          <cell r="F755">
            <v>2779.6</v>
          </cell>
        </row>
        <row r="756">
          <cell r="A756">
            <v>43158</v>
          </cell>
          <cell r="B756">
            <v>2780.45</v>
          </cell>
          <cell r="C756">
            <v>2789.15</v>
          </cell>
          <cell r="D756">
            <v>2744.22</v>
          </cell>
          <cell r="E756">
            <v>2744.28</v>
          </cell>
          <cell r="F756">
            <v>2744.28</v>
          </cell>
        </row>
        <row r="757">
          <cell r="A757">
            <v>43159</v>
          </cell>
          <cell r="B757">
            <v>2753.78</v>
          </cell>
          <cell r="C757">
            <v>2761.52</v>
          </cell>
          <cell r="D757">
            <v>2713.54</v>
          </cell>
          <cell r="E757">
            <v>2713.83</v>
          </cell>
          <cell r="F757">
            <v>2713.83</v>
          </cell>
        </row>
        <row r="758">
          <cell r="A758">
            <v>43160</v>
          </cell>
          <cell r="B758">
            <v>2715.22</v>
          </cell>
          <cell r="C758">
            <v>2730.89</v>
          </cell>
          <cell r="D758">
            <v>2659.65</v>
          </cell>
          <cell r="E758">
            <v>2677.67</v>
          </cell>
          <cell r="F758">
            <v>2677.67</v>
          </cell>
        </row>
        <row r="759">
          <cell r="A759">
            <v>43161</v>
          </cell>
          <cell r="B759">
            <v>2658.89</v>
          </cell>
          <cell r="C759">
            <v>2696.25</v>
          </cell>
          <cell r="D759">
            <v>2647.32</v>
          </cell>
          <cell r="E759">
            <v>2691.25</v>
          </cell>
          <cell r="F759">
            <v>2691.25</v>
          </cell>
        </row>
        <row r="760">
          <cell r="A760">
            <v>43164</v>
          </cell>
          <cell r="B760">
            <v>2681.06</v>
          </cell>
          <cell r="C760">
            <v>2728.09</v>
          </cell>
          <cell r="D760">
            <v>2675.75</v>
          </cell>
          <cell r="E760">
            <v>2720.94</v>
          </cell>
          <cell r="F760">
            <v>2720.94</v>
          </cell>
        </row>
        <row r="761">
          <cell r="A761">
            <v>43165</v>
          </cell>
          <cell r="B761">
            <v>2730.18</v>
          </cell>
          <cell r="C761">
            <v>2732.08</v>
          </cell>
          <cell r="D761">
            <v>2711.26</v>
          </cell>
          <cell r="E761">
            <v>2728.12</v>
          </cell>
          <cell r="F761">
            <v>2728.12</v>
          </cell>
        </row>
        <row r="762">
          <cell r="A762">
            <v>43166</v>
          </cell>
          <cell r="B762">
            <v>2710.18</v>
          </cell>
          <cell r="C762">
            <v>2730.6</v>
          </cell>
          <cell r="D762">
            <v>2701.74</v>
          </cell>
          <cell r="E762">
            <v>2726.8</v>
          </cell>
          <cell r="F762">
            <v>2726.8</v>
          </cell>
        </row>
        <row r="763">
          <cell r="A763">
            <v>43167</v>
          </cell>
          <cell r="B763">
            <v>2732.75</v>
          </cell>
          <cell r="C763">
            <v>2740.45</v>
          </cell>
          <cell r="D763">
            <v>2722.65</v>
          </cell>
          <cell r="E763">
            <v>2738.97</v>
          </cell>
          <cell r="F763">
            <v>2738.97</v>
          </cell>
        </row>
        <row r="764">
          <cell r="A764">
            <v>43168</v>
          </cell>
          <cell r="B764">
            <v>2752.91</v>
          </cell>
          <cell r="C764">
            <v>2786.57</v>
          </cell>
          <cell r="D764">
            <v>2751.54</v>
          </cell>
          <cell r="E764">
            <v>2786.57</v>
          </cell>
          <cell r="F764">
            <v>2786.57</v>
          </cell>
        </row>
        <row r="765">
          <cell r="A765">
            <v>43171</v>
          </cell>
          <cell r="B765">
            <v>2790.54</v>
          </cell>
          <cell r="C765">
            <v>2796.98</v>
          </cell>
          <cell r="D765">
            <v>2779.26</v>
          </cell>
          <cell r="E765">
            <v>2783.02</v>
          </cell>
          <cell r="F765">
            <v>2783.02</v>
          </cell>
        </row>
        <row r="766">
          <cell r="A766">
            <v>43172</v>
          </cell>
          <cell r="B766">
            <v>2792.31</v>
          </cell>
          <cell r="C766">
            <v>2801.9</v>
          </cell>
          <cell r="D766">
            <v>2758.68</v>
          </cell>
          <cell r="E766">
            <v>2765.31</v>
          </cell>
          <cell r="F766">
            <v>2765.31</v>
          </cell>
        </row>
        <row r="767">
          <cell r="A767">
            <v>43173</v>
          </cell>
          <cell r="B767">
            <v>2774.06</v>
          </cell>
          <cell r="C767">
            <v>2777.11</v>
          </cell>
          <cell r="D767">
            <v>2744.38</v>
          </cell>
          <cell r="E767">
            <v>2749.48</v>
          </cell>
          <cell r="F767">
            <v>2749.48</v>
          </cell>
        </row>
        <row r="768">
          <cell r="A768">
            <v>43174</v>
          </cell>
          <cell r="B768">
            <v>2754.27</v>
          </cell>
          <cell r="C768">
            <v>2763.03</v>
          </cell>
          <cell r="D768">
            <v>2741.47</v>
          </cell>
          <cell r="E768">
            <v>2747.33</v>
          </cell>
          <cell r="F768">
            <v>2747.33</v>
          </cell>
        </row>
        <row r="769">
          <cell r="A769">
            <v>43175</v>
          </cell>
          <cell r="B769">
            <v>2750.57</v>
          </cell>
          <cell r="C769">
            <v>2761.85</v>
          </cell>
          <cell r="D769">
            <v>2749.97</v>
          </cell>
          <cell r="E769">
            <v>2752.01</v>
          </cell>
          <cell r="F769">
            <v>2752.01</v>
          </cell>
        </row>
        <row r="770">
          <cell r="A770">
            <v>43178</v>
          </cell>
          <cell r="B770">
            <v>2741.38</v>
          </cell>
          <cell r="C770">
            <v>2741.38</v>
          </cell>
          <cell r="D770">
            <v>2694.59</v>
          </cell>
          <cell r="E770">
            <v>2712.92</v>
          </cell>
          <cell r="F770">
            <v>2712.92</v>
          </cell>
        </row>
        <row r="771">
          <cell r="A771">
            <v>43179</v>
          </cell>
          <cell r="B771">
            <v>2715.05</v>
          </cell>
          <cell r="C771">
            <v>2724.22</v>
          </cell>
          <cell r="D771">
            <v>2710.05</v>
          </cell>
          <cell r="E771">
            <v>2716.94</v>
          </cell>
          <cell r="F771">
            <v>2716.94</v>
          </cell>
        </row>
        <row r="772">
          <cell r="A772">
            <v>43180</v>
          </cell>
          <cell r="B772">
            <v>2714.99</v>
          </cell>
          <cell r="C772">
            <v>2739.14</v>
          </cell>
          <cell r="D772">
            <v>2709.79</v>
          </cell>
          <cell r="E772">
            <v>2711.93</v>
          </cell>
          <cell r="F772">
            <v>2711.93</v>
          </cell>
        </row>
        <row r="773">
          <cell r="A773">
            <v>43181</v>
          </cell>
          <cell r="B773">
            <v>2691.36</v>
          </cell>
          <cell r="C773">
            <v>2695.68</v>
          </cell>
          <cell r="D773">
            <v>2641.59</v>
          </cell>
          <cell r="E773">
            <v>2643.69</v>
          </cell>
          <cell r="F773">
            <v>2643.69</v>
          </cell>
        </row>
        <row r="774">
          <cell r="A774">
            <v>43182</v>
          </cell>
          <cell r="B774">
            <v>2646.71</v>
          </cell>
          <cell r="C774">
            <v>2657.67</v>
          </cell>
          <cell r="D774">
            <v>2585.89</v>
          </cell>
          <cell r="E774">
            <v>2588.2600000000002</v>
          </cell>
          <cell r="F774">
            <v>2588.2600000000002</v>
          </cell>
        </row>
        <row r="775">
          <cell r="A775">
            <v>43185</v>
          </cell>
          <cell r="B775">
            <v>2619.35</v>
          </cell>
          <cell r="C775">
            <v>2661.36</v>
          </cell>
          <cell r="D775">
            <v>2601.81</v>
          </cell>
          <cell r="E775">
            <v>2658.55</v>
          </cell>
          <cell r="F775">
            <v>2658.55</v>
          </cell>
        </row>
        <row r="776">
          <cell r="A776">
            <v>43186</v>
          </cell>
          <cell r="B776">
            <v>2667.57</v>
          </cell>
          <cell r="C776">
            <v>2674.78</v>
          </cell>
          <cell r="D776">
            <v>2596.12</v>
          </cell>
          <cell r="E776">
            <v>2612.62</v>
          </cell>
          <cell r="F776">
            <v>2612.62</v>
          </cell>
        </row>
        <row r="777">
          <cell r="A777">
            <v>43187</v>
          </cell>
          <cell r="B777">
            <v>2611.3000000000002</v>
          </cell>
          <cell r="C777">
            <v>2632.65</v>
          </cell>
          <cell r="D777">
            <v>2593.06</v>
          </cell>
          <cell r="E777">
            <v>2605</v>
          </cell>
          <cell r="F777">
            <v>2605</v>
          </cell>
        </row>
        <row r="778">
          <cell r="A778">
            <v>43188</v>
          </cell>
          <cell r="B778">
            <v>2614.41</v>
          </cell>
          <cell r="C778">
            <v>2659.07</v>
          </cell>
          <cell r="D778">
            <v>2609.7199999999998</v>
          </cell>
          <cell r="E778">
            <v>2640.87</v>
          </cell>
          <cell r="F778">
            <v>2640.87</v>
          </cell>
        </row>
        <row r="779">
          <cell r="A779">
            <v>43192</v>
          </cell>
          <cell r="B779">
            <v>2633.45</v>
          </cell>
          <cell r="C779">
            <v>2638.3</v>
          </cell>
          <cell r="D779">
            <v>2553.8000000000002</v>
          </cell>
          <cell r="E779">
            <v>2581.88</v>
          </cell>
          <cell r="F779">
            <v>2581.88</v>
          </cell>
        </row>
        <row r="780">
          <cell r="A780">
            <v>43193</v>
          </cell>
          <cell r="B780">
            <v>2592.17</v>
          </cell>
          <cell r="C780">
            <v>2619.14</v>
          </cell>
          <cell r="D780">
            <v>2575.4899999999998</v>
          </cell>
          <cell r="E780">
            <v>2614.4499999999998</v>
          </cell>
          <cell r="F780">
            <v>2614.4499999999998</v>
          </cell>
        </row>
        <row r="781">
          <cell r="A781">
            <v>43194</v>
          </cell>
          <cell r="B781">
            <v>2584.04</v>
          </cell>
          <cell r="C781">
            <v>2649.86</v>
          </cell>
          <cell r="D781">
            <v>2573.61</v>
          </cell>
          <cell r="E781">
            <v>2644.69</v>
          </cell>
          <cell r="F781">
            <v>2644.69</v>
          </cell>
        </row>
        <row r="782">
          <cell r="A782">
            <v>43195</v>
          </cell>
          <cell r="B782">
            <v>2657.36</v>
          </cell>
          <cell r="C782">
            <v>2672.08</v>
          </cell>
          <cell r="D782">
            <v>2649.58</v>
          </cell>
          <cell r="E782">
            <v>2662.84</v>
          </cell>
          <cell r="F782">
            <v>2662.84</v>
          </cell>
        </row>
        <row r="783">
          <cell r="A783">
            <v>43196</v>
          </cell>
          <cell r="B783">
            <v>2645.82</v>
          </cell>
          <cell r="C783">
            <v>2656.88</v>
          </cell>
          <cell r="D783">
            <v>2586.27</v>
          </cell>
          <cell r="E783">
            <v>2604.4699999999998</v>
          </cell>
          <cell r="F783">
            <v>2604.4699999999998</v>
          </cell>
        </row>
        <row r="784">
          <cell r="A784">
            <v>43199</v>
          </cell>
          <cell r="B784">
            <v>2617.1799999999998</v>
          </cell>
          <cell r="C784">
            <v>2653.55</v>
          </cell>
          <cell r="D784">
            <v>2610.79</v>
          </cell>
          <cell r="E784">
            <v>2613.16</v>
          </cell>
          <cell r="F784">
            <v>2613.16</v>
          </cell>
        </row>
        <row r="785">
          <cell r="A785">
            <v>43200</v>
          </cell>
          <cell r="B785">
            <v>2638.41</v>
          </cell>
          <cell r="C785">
            <v>2665.45</v>
          </cell>
          <cell r="D785">
            <v>2635.78</v>
          </cell>
          <cell r="E785">
            <v>2656.87</v>
          </cell>
          <cell r="F785">
            <v>2656.87</v>
          </cell>
        </row>
        <row r="786">
          <cell r="A786">
            <v>43201</v>
          </cell>
          <cell r="B786">
            <v>2643.89</v>
          </cell>
          <cell r="C786">
            <v>2661.43</v>
          </cell>
          <cell r="D786">
            <v>2639.25</v>
          </cell>
          <cell r="E786">
            <v>2642.19</v>
          </cell>
          <cell r="F786">
            <v>2642.19</v>
          </cell>
        </row>
        <row r="787">
          <cell r="A787">
            <v>43202</v>
          </cell>
          <cell r="B787">
            <v>2653.83</v>
          </cell>
          <cell r="C787">
            <v>2674.72</v>
          </cell>
          <cell r="D787">
            <v>2653.83</v>
          </cell>
          <cell r="E787">
            <v>2663.99</v>
          </cell>
          <cell r="F787">
            <v>2663.99</v>
          </cell>
        </row>
        <row r="788">
          <cell r="A788">
            <v>43203</v>
          </cell>
          <cell r="B788">
            <v>2676.9</v>
          </cell>
          <cell r="C788">
            <v>2680.26</v>
          </cell>
          <cell r="D788">
            <v>2645.05</v>
          </cell>
          <cell r="E788">
            <v>2656.3</v>
          </cell>
          <cell r="F788">
            <v>2656.3</v>
          </cell>
        </row>
        <row r="789">
          <cell r="A789">
            <v>43206</v>
          </cell>
          <cell r="B789">
            <v>2670.1</v>
          </cell>
          <cell r="C789">
            <v>2686.49</v>
          </cell>
          <cell r="D789">
            <v>2665.16</v>
          </cell>
          <cell r="E789">
            <v>2677.84</v>
          </cell>
          <cell r="F789">
            <v>2677.84</v>
          </cell>
        </row>
        <row r="790">
          <cell r="A790">
            <v>43207</v>
          </cell>
          <cell r="B790">
            <v>2692.74</v>
          </cell>
          <cell r="C790">
            <v>2713.34</v>
          </cell>
          <cell r="D790">
            <v>2692.05</v>
          </cell>
          <cell r="E790">
            <v>2706.39</v>
          </cell>
          <cell r="F790">
            <v>2706.39</v>
          </cell>
        </row>
        <row r="791">
          <cell r="A791">
            <v>43208</v>
          </cell>
          <cell r="B791">
            <v>2710.11</v>
          </cell>
          <cell r="C791">
            <v>2717.49</v>
          </cell>
          <cell r="D791">
            <v>2703.63</v>
          </cell>
          <cell r="E791">
            <v>2708.64</v>
          </cell>
          <cell r="F791">
            <v>2708.64</v>
          </cell>
        </row>
        <row r="792">
          <cell r="A792">
            <v>43209</v>
          </cell>
          <cell r="B792">
            <v>2701.16</v>
          </cell>
          <cell r="C792">
            <v>2702.84</v>
          </cell>
          <cell r="D792">
            <v>2681.9</v>
          </cell>
          <cell r="E792">
            <v>2693.13</v>
          </cell>
          <cell r="F792">
            <v>2693.13</v>
          </cell>
        </row>
        <row r="793">
          <cell r="A793">
            <v>43210</v>
          </cell>
          <cell r="B793">
            <v>2692.56</v>
          </cell>
          <cell r="C793">
            <v>2693.94</v>
          </cell>
          <cell r="D793">
            <v>2660.61</v>
          </cell>
          <cell r="E793">
            <v>2670.14</v>
          </cell>
          <cell r="F793">
            <v>2670.14</v>
          </cell>
        </row>
        <row r="794">
          <cell r="A794">
            <v>43213</v>
          </cell>
          <cell r="B794">
            <v>2675.4</v>
          </cell>
          <cell r="C794">
            <v>2682.86</v>
          </cell>
          <cell r="D794">
            <v>2657.99</v>
          </cell>
          <cell r="E794">
            <v>2670.29</v>
          </cell>
          <cell r="F794">
            <v>2670.29</v>
          </cell>
        </row>
        <row r="795">
          <cell r="A795">
            <v>43214</v>
          </cell>
          <cell r="B795">
            <v>2680.8</v>
          </cell>
          <cell r="C795">
            <v>2683.55</v>
          </cell>
          <cell r="D795">
            <v>2617.3200000000002</v>
          </cell>
          <cell r="E795">
            <v>2634.56</v>
          </cell>
          <cell r="F795">
            <v>2634.56</v>
          </cell>
        </row>
        <row r="796">
          <cell r="A796">
            <v>43215</v>
          </cell>
          <cell r="B796">
            <v>2634.92</v>
          </cell>
          <cell r="C796">
            <v>2645.3</v>
          </cell>
          <cell r="D796">
            <v>2612.67</v>
          </cell>
          <cell r="E796">
            <v>2639.4</v>
          </cell>
          <cell r="F796">
            <v>2639.4</v>
          </cell>
        </row>
        <row r="797">
          <cell r="A797">
            <v>43216</v>
          </cell>
          <cell r="B797">
            <v>2651.65</v>
          </cell>
          <cell r="C797">
            <v>2676.48</v>
          </cell>
          <cell r="D797">
            <v>2647.16</v>
          </cell>
          <cell r="E797">
            <v>2666.94</v>
          </cell>
          <cell r="F797">
            <v>2666.94</v>
          </cell>
        </row>
        <row r="798">
          <cell r="A798">
            <v>43217</v>
          </cell>
          <cell r="B798">
            <v>2675.47</v>
          </cell>
          <cell r="C798">
            <v>2677.35</v>
          </cell>
          <cell r="D798">
            <v>2659.01</v>
          </cell>
          <cell r="E798">
            <v>2669.91</v>
          </cell>
          <cell r="F798">
            <v>2669.91</v>
          </cell>
        </row>
        <row r="799">
          <cell r="A799">
            <v>43220</v>
          </cell>
          <cell r="B799">
            <v>2682.51</v>
          </cell>
          <cell r="C799">
            <v>2682.87</v>
          </cell>
          <cell r="D799">
            <v>2648.04</v>
          </cell>
          <cell r="E799">
            <v>2648.05</v>
          </cell>
          <cell r="F799">
            <v>2648.05</v>
          </cell>
        </row>
        <row r="800">
          <cell r="A800">
            <v>43221</v>
          </cell>
          <cell r="B800">
            <v>2642.96</v>
          </cell>
          <cell r="C800">
            <v>2655.27</v>
          </cell>
          <cell r="D800">
            <v>2625.41</v>
          </cell>
          <cell r="E800">
            <v>2654.8</v>
          </cell>
          <cell r="F800">
            <v>2654.8</v>
          </cell>
        </row>
        <row r="801">
          <cell r="A801">
            <v>43222</v>
          </cell>
          <cell r="B801">
            <v>2654.24</v>
          </cell>
          <cell r="C801">
            <v>2660.87</v>
          </cell>
          <cell r="D801">
            <v>2631.7</v>
          </cell>
          <cell r="E801">
            <v>2635.67</v>
          </cell>
          <cell r="F801">
            <v>2635.67</v>
          </cell>
        </row>
        <row r="802">
          <cell r="A802">
            <v>43223</v>
          </cell>
          <cell r="B802">
            <v>2628.08</v>
          </cell>
          <cell r="C802">
            <v>2637.14</v>
          </cell>
          <cell r="D802">
            <v>2594.62</v>
          </cell>
          <cell r="E802">
            <v>2629.73</v>
          </cell>
          <cell r="F802">
            <v>2629.73</v>
          </cell>
        </row>
        <row r="803">
          <cell r="A803">
            <v>43224</v>
          </cell>
          <cell r="B803">
            <v>2621.45</v>
          </cell>
          <cell r="C803">
            <v>2670.93</v>
          </cell>
          <cell r="D803">
            <v>2615.3200000000002</v>
          </cell>
          <cell r="E803">
            <v>2663.42</v>
          </cell>
          <cell r="F803">
            <v>2663.42</v>
          </cell>
        </row>
        <row r="804">
          <cell r="A804">
            <v>43227</v>
          </cell>
          <cell r="B804">
            <v>2680.34</v>
          </cell>
          <cell r="C804">
            <v>2683.35</v>
          </cell>
          <cell r="D804">
            <v>2664.7</v>
          </cell>
          <cell r="E804">
            <v>2672.63</v>
          </cell>
          <cell r="F804">
            <v>2672.63</v>
          </cell>
        </row>
        <row r="805">
          <cell r="A805">
            <v>43228</v>
          </cell>
          <cell r="B805">
            <v>2670.26</v>
          </cell>
          <cell r="C805">
            <v>2676.34</v>
          </cell>
          <cell r="D805">
            <v>2655.2</v>
          </cell>
          <cell r="E805">
            <v>2671.92</v>
          </cell>
          <cell r="F805">
            <v>2671.92</v>
          </cell>
        </row>
        <row r="806">
          <cell r="A806">
            <v>43229</v>
          </cell>
          <cell r="B806">
            <v>2678.12</v>
          </cell>
          <cell r="C806">
            <v>2701.27</v>
          </cell>
          <cell r="D806">
            <v>2674.14</v>
          </cell>
          <cell r="E806">
            <v>2697.79</v>
          </cell>
          <cell r="F806">
            <v>2697.79</v>
          </cell>
        </row>
        <row r="807">
          <cell r="A807">
            <v>43230</v>
          </cell>
          <cell r="B807">
            <v>2705.02</v>
          </cell>
          <cell r="C807">
            <v>2726.11</v>
          </cell>
          <cell r="D807">
            <v>2704.54</v>
          </cell>
          <cell r="E807">
            <v>2723.07</v>
          </cell>
          <cell r="F807">
            <v>2723.07</v>
          </cell>
        </row>
        <row r="808">
          <cell r="A808">
            <v>43231</v>
          </cell>
          <cell r="B808">
            <v>2722.7</v>
          </cell>
          <cell r="C808">
            <v>2732.86</v>
          </cell>
          <cell r="D808">
            <v>2717.45</v>
          </cell>
          <cell r="E808">
            <v>2727.72</v>
          </cell>
          <cell r="F808">
            <v>2727.72</v>
          </cell>
        </row>
        <row r="809">
          <cell r="A809">
            <v>43234</v>
          </cell>
          <cell r="B809">
            <v>2738.47</v>
          </cell>
          <cell r="C809">
            <v>2742.1</v>
          </cell>
          <cell r="D809">
            <v>2725.47</v>
          </cell>
          <cell r="E809">
            <v>2730.13</v>
          </cell>
          <cell r="F809">
            <v>2730.13</v>
          </cell>
        </row>
        <row r="810">
          <cell r="A810">
            <v>43235</v>
          </cell>
          <cell r="B810">
            <v>2718.59</v>
          </cell>
          <cell r="C810">
            <v>2718.59</v>
          </cell>
          <cell r="D810">
            <v>2701.91</v>
          </cell>
          <cell r="E810">
            <v>2711.45</v>
          </cell>
          <cell r="F810">
            <v>2711.45</v>
          </cell>
        </row>
        <row r="811">
          <cell r="A811">
            <v>43236</v>
          </cell>
          <cell r="B811">
            <v>2712.62</v>
          </cell>
          <cell r="C811">
            <v>2727.76</v>
          </cell>
          <cell r="D811">
            <v>2712.17</v>
          </cell>
          <cell r="E811">
            <v>2722.46</v>
          </cell>
          <cell r="F811">
            <v>2722.46</v>
          </cell>
        </row>
        <row r="812">
          <cell r="A812">
            <v>43237</v>
          </cell>
          <cell r="B812">
            <v>2719.71</v>
          </cell>
          <cell r="C812">
            <v>2731.96</v>
          </cell>
          <cell r="D812">
            <v>2711.36</v>
          </cell>
          <cell r="E812">
            <v>2720.13</v>
          </cell>
          <cell r="F812">
            <v>2720.13</v>
          </cell>
        </row>
        <row r="813">
          <cell r="A813">
            <v>43238</v>
          </cell>
          <cell r="B813">
            <v>2717.35</v>
          </cell>
          <cell r="C813">
            <v>2719.5</v>
          </cell>
          <cell r="D813">
            <v>2709.18</v>
          </cell>
          <cell r="E813">
            <v>2712.97</v>
          </cell>
          <cell r="F813">
            <v>2712.97</v>
          </cell>
        </row>
        <row r="814">
          <cell r="A814">
            <v>43241</v>
          </cell>
          <cell r="B814">
            <v>2735.39</v>
          </cell>
          <cell r="C814">
            <v>2739.19</v>
          </cell>
          <cell r="D814">
            <v>2725.7</v>
          </cell>
          <cell r="E814">
            <v>2733.01</v>
          </cell>
          <cell r="F814">
            <v>2733.01</v>
          </cell>
        </row>
        <row r="815">
          <cell r="A815">
            <v>43242</v>
          </cell>
          <cell r="B815">
            <v>2738.34</v>
          </cell>
          <cell r="C815">
            <v>2742.24</v>
          </cell>
          <cell r="D815">
            <v>2721.88</v>
          </cell>
          <cell r="E815">
            <v>2724.44</v>
          </cell>
          <cell r="F815">
            <v>2724.44</v>
          </cell>
        </row>
        <row r="816">
          <cell r="A816">
            <v>43243</v>
          </cell>
          <cell r="B816">
            <v>2713.98</v>
          </cell>
          <cell r="C816">
            <v>2733.33</v>
          </cell>
          <cell r="D816">
            <v>2709.54</v>
          </cell>
          <cell r="E816">
            <v>2733.29</v>
          </cell>
          <cell r="F816">
            <v>2733.29</v>
          </cell>
        </row>
        <row r="817">
          <cell r="A817">
            <v>43244</v>
          </cell>
          <cell r="B817">
            <v>2730.94</v>
          </cell>
          <cell r="C817">
            <v>2731.97</v>
          </cell>
          <cell r="D817">
            <v>2707.38</v>
          </cell>
          <cell r="E817">
            <v>2727.76</v>
          </cell>
          <cell r="F817">
            <v>2727.76</v>
          </cell>
        </row>
        <row r="818">
          <cell r="A818">
            <v>43245</v>
          </cell>
          <cell r="B818">
            <v>2723.6</v>
          </cell>
          <cell r="C818">
            <v>2727.36</v>
          </cell>
          <cell r="D818">
            <v>2714.99</v>
          </cell>
          <cell r="E818">
            <v>2721.33</v>
          </cell>
          <cell r="F818">
            <v>2721.33</v>
          </cell>
        </row>
        <row r="819">
          <cell r="A819">
            <v>43249</v>
          </cell>
          <cell r="B819">
            <v>2705.11</v>
          </cell>
          <cell r="C819">
            <v>2710.67</v>
          </cell>
          <cell r="D819">
            <v>2676.81</v>
          </cell>
          <cell r="E819">
            <v>2689.86</v>
          </cell>
          <cell r="F819">
            <v>2689.86</v>
          </cell>
        </row>
        <row r="820">
          <cell r="A820">
            <v>43250</v>
          </cell>
          <cell r="B820">
            <v>2702.43</v>
          </cell>
          <cell r="C820">
            <v>2729.34</v>
          </cell>
          <cell r="D820">
            <v>2702.43</v>
          </cell>
          <cell r="E820">
            <v>2724.01</v>
          </cell>
          <cell r="F820">
            <v>2724.01</v>
          </cell>
        </row>
        <row r="821">
          <cell r="A821">
            <v>43251</v>
          </cell>
          <cell r="B821">
            <v>2720.98</v>
          </cell>
          <cell r="C821">
            <v>2722.5</v>
          </cell>
          <cell r="D821">
            <v>2700.68</v>
          </cell>
          <cell r="E821">
            <v>2705.27</v>
          </cell>
          <cell r="F821">
            <v>2705.27</v>
          </cell>
        </row>
        <row r="822">
          <cell r="A822">
            <v>43252</v>
          </cell>
          <cell r="B822">
            <v>2718.7</v>
          </cell>
          <cell r="C822">
            <v>2736.93</v>
          </cell>
          <cell r="D822">
            <v>2718.7</v>
          </cell>
          <cell r="E822">
            <v>2734.62</v>
          </cell>
          <cell r="F822">
            <v>2734.62</v>
          </cell>
        </row>
        <row r="823">
          <cell r="A823">
            <v>43255</v>
          </cell>
          <cell r="B823">
            <v>2741.67</v>
          </cell>
          <cell r="C823">
            <v>2749.16</v>
          </cell>
          <cell r="D823">
            <v>2740.54</v>
          </cell>
          <cell r="E823">
            <v>2746.87</v>
          </cell>
          <cell r="F823">
            <v>2746.87</v>
          </cell>
        </row>
        <row r="824">
          <cell r="A824">
            <v>43256</v>
          </cell>
          <cell r="B824">
            <v>2748.46</v>
          </cell>
          <cell r="C824">
            <v>2752.61</v>
          </cell>
          <cell r="D824">
            <v>2739.51</v>
          </cell>
          <cell r="E824">
            <v>2748.8</v>
          </cell>
          <cell r="F824">
            <v>2748.8</v>
          </cell>
        </row>
        <row r="825">
          <cell r="A825">
            <v>43257</v>
          </cell>
          <cell r="B825">
            <v>2753.25</v>
          </cell>
          <cell r="C825">
            <v>2772.39</v>
          </cell>
          <cell r="D825">
            <v>2748.46</v>
          </cell>
          <cell r="E825">
            <v>2772.35</v>
          </cell>
          <cell r="F825">
            <v>2772.35</v>
          </cell>
        </row>
        <row r="826">
          <cell r="A826">
            <v>43258</v>
          </cell>
          <cell r="B826">
            <v>2774.84</v>
          </cell>
          <cell r="C826">
            <v>2779.9</v>
          </cell>
          <cell r="D826">
            <v>2760.16</v>
          </cell>
          <cell r="E826">
            <v>2770.37</v>
          </cell>
          <cell r="F826">
            <v>2770.37</v>
          </cell>
        </row>
        <row r="827">
          <cell r="A827">
            <v>43259</v>
          </cell>
          <cell r="B827">
            <v>2765.84</v>
          </cell>
          <cell r="C827">
            <v>2779.39</v>
          </cell>
          <cell r="D827">
            <v>2763.59</v>
          </cell>
          <cell r="E827">
            <v>2779.03</v>
          </cell>
          <cell r="F827">
            <v>2779.03</v>
          </cell>
        </row>
        <row r="828">
          <cell r="A828">
            <v>43262</v>
          </cell>
          <cell r="B828">
            <v>2780.18</v>
          </cell>
          <cell r="C828">
            <v>2790.21</v>
          </cell>
          <cell r="D828">
            <v>2780.17</v>
          </cell>
          <cell r="E828">
            <v>2782</v>
          </cell>
          <cell r="F828">
            <v>2782</v>
          </cell>
        </row>
        <row r="829">
          <cell r="A829">
            <v>43263</v>
          </cell>
          <cell r="B829">
            <v>2785.6</v>
          </cell>
          <cell r="C829">
            <v>2789.8</v>
          </cell>
          <cell r="D829">
            <v>2778.78</v>
          </cell>
          <cell r="E829">
            <v>2786.85</v>
          </cell>
          <cell r="F829">
            <v>2786.85</v>
          </cell>
        </row>
        <row r="830">
          <cell r="A830">
            <v>43264</v>
          </cell>
          <cell r="B830">
            <v>2787.94</v>
          </cell>
          <cell r="C830">
            <v>2791.47</v>
          </cell>
          <cell r="D830">
            <v>2774.65</v>
          </cell>
          <cell r="E830">
            <v>2775.63</v>
          </cell>
          <cell r="F830">
            <v>2775.63</v>
          </cell>
        </row>
        <row r="831">
          <cell r="A831">
            <v>43265</v>
          </cell>
          <cell r="B831">
            <v>2783.21</v>
          </cell>
          <cell r="C831">
            <v>2789.06</v>
          </cell>
          <cell r="D831">
            <v>2776.52</v>
          </cell>
          <cell r="E831">
            <v>2782.49</v>
          </cell>
          <cell r="F831">
            <v>2782.49</v>
          </cell>
        </row>
        <row r="832">
          <cell r="A832">
            <v>43266</v>
          </cell>
          <cell r="B832">
            <v>2777.78</v>
          </cell>
          <cell r="C832">
            <v>2782.81</v>
          </cell>
          <cell r="D832">
            <v>2761.73</v>
          </cell>
          <cell r="E832">
            <v>2779.66</v>
          </cell>
          <cell r="F832">
            <v>2779.66</v>
          </cell>
        </row>
        <row r="833">
          <cell r="A833">
            <v>43269</v>
          </cell>
          <cell r="B833">
            <v>2765.79</v>
          </cell>
          <cell r="C833">
            <v>2774.99</v>
          </cell>
          <cell r="D833">
            <v>2757.12</v>
          </cell>
          <cell r="E833">
            <v>2773.75</v>
          </cell>
          <cell r="F833">
            <v>2773.75</v>
          </cell>
        </row>
        <row r="834">
          <cell r="A834">
            <v>43270</v>
          </cell>
          <cell r="B834">
            <v>2752.01</v>
          </cell>
          <cell r="C834">
            <v>2765.05</v>
          </cell>
          <cell r="D834">
            <v>2743.19</v>
          </cell>
          <cell r="E834">
            <v>2762.59</v>
          </cell>
          <cell r="F834">
            <v>2762.59</v>
          </cell>
        </row>
        <row r="835">
          <cell r="A835">
            <v>43271</v>
          </cell>
          <cell r="B835">
            <v>2769.73</v>
          </cell>
          <cell r="C835">
            <v>2774.86</v>
          </cell>
          <cell r="D835">
            <v>2763.91</v>
          </cell>
          <cell r="E835">
            <v>2767.32</v>
          </cell>
          <cell r="F835">
            <v>2767.32</v>
          </cell>
        </row>
        <row r="836">
          <cell r="A836">
            <v>43272</v>
          </cell>
          <cell r="B836">
            <v>2769.28</v>
          </cell>
          <cell r="C836">
            <v>2769.28</v>
          </cell>
          <cell r="D836">
            <v>2744.39</v>
          </cell>
          <cell r="E836">
            <v>2749.76</v>
          </cell>
          <cell r="F836">
            <v>2749.76</v>
          </cell>
        </row>
        <row r="837">
          <cell r="A837">
            <v>43273</v>
          </cell>
          <cell r="B837">
            <v>2760.79</v>
          </cell>
          <cell r="C837">
            <v>2764.17</v>
          </cell>
          <cell r="D837">
            <v>2752.68</v>
          </cell>
          <cell r="E837">
            <v>2754.88</v>
          </cell>
          <cell r="F837">
            <v>2754.88</v>
          </cell>
        </row>
        <row r="838">
          <cell r="A838">
            <v>43276</v>
          </cell>
          <cell r="B838">
            <v>2742.94</v>
          </cell>
          <cell r="C838">
            <v>2742.94</v>
          </cell>
          <cell r="D838">
            <v>2698.67</v>
          </cell>
          <cell r="E838">
            <v>2717.07</v>
          </cell>
          <cell r="F838">
            <v>2717.07</v>
          </cell>
        </row>
        <row r="839">
          <cell r="A839">
            <v>43277</v>
          </cell>
          <cell r="B839">
            <v>2722.12</v>
          </cell>
          <cell r="C839">
            <v>2732.91</v>
          </cell>
          <cell r="D839">
            <v>2715.6</v>
          </cell>
          <cell r="E839">
            <v>2723.06</v>
          </cell>
          <cell r="F839">
            <v>2723.06</v>
          </cell>
        </row>
        <row r="840">
          <cell r="A840">
            <v>43278</v>
          </cell>
          <cell r="B840">
            <v>2728.45</v>
          </cell>
          <cell r="C840">
            <v>2746.09</v>
          </cell>
          <cell r="D840">
            <v>2699.38</v>
          </cell>
          <cell r="E840">
            <v>2699.63</v>
          </cell>
          <cell r="F840">
            <v>2699.63</v>
          </cell>
        </row>
        <row r="841">
          <cell r="A841">
            <v>43279</v>
          </cell>
          <cell r="B841">
            <v>2698.69</v>
          </cell>
          <cell r="C841">
            <v>2724.34</v>
          </cell>
          <cell r="D841">
            <v>2691.99</v>
          </cell>
          <cell r="E841">
            <v>2716.31</v>
          </cell>
          <cell r="F841">
            <v>2716.31</v>
          </cell>
        </row>
        <row r="842">
          <cell r="A842">
            <v>43280</v>
          </cell>
          <cell r="B842">
            <v>2727.13</v>
          </cell>
          <cell r="C842">
            <v>2743.26</v>
          </cell>
          <cell r="D842">
            <v>2718.03</v>
          </cell>
          <cell r="E842">
            <v>2718.37</v>
          </cell>
          <cell r="F842">
            <v>2718.37</v>
          </cell>
        </row>
        <row r="843">
          <cell r="A843">
            <v>43283</v>
          </cell>
          <cell r="B843">
            <v>2704.95</v>
          </cell>
          <cell r="C843">
            <v>2727.26</v>
          </cell>
          <cell r="D843">
            <v>2698.95</v>
          </cell>
          <cell r="E843">
            <v>2726.71</v>
          </cell>
          <cell r="F843">
            <v>2726.71</v>
          </cell>
        </row>
        <row r="844">
          <cell r="A844">
            <v>43284</v>
          </cell>
          <cell r="B844">
            <v>2733.27</v>
          </cell>
          <cell r="C844">
            <v>2736.58</v>
          </cell>
          <cell r="D844">
            <v>2711.16</v>
          </cell>
          <cell r="E844">
            <v>2713.22</v>
          </cell>
          <cell r="F844">
            <v>2713.22</v>
          </cell>
        </row>
        <row r="845">
          <cell r="A845">
            <v>43286</v>
          </cell>
          <cell r="B845">
            <v>2724.19</v>
          </cell>
          <cell r="C845">
            <v>2737.83</v>
          </cell>
          <cell r="D845">
            <v>2716.02</v>
          </cell>
          <cell r="E845">
            <v>2736.61</v>
          </cell>
          <cell r="F845">
            <v>2736.61</v>
          </cell>
        </row>
        <row r="846">
          <cell r="A846">
            <v>43287</v>
          </cell>
          <cell r="B846">
            <v>2737.68</v>
          </cell>
          <cell r="C846">
            <v>2764.41</v>
          </cell>
          <cell r="D846">
            <v>2733.52</v>
          </cell>
          <cell r="E846">
            <v>2759.82</v>
          </cell>
          <cell r="F846">
            <v>2759.82</v>
          </cell>
        </row>
        <row r="847">
          <cell r="A847">
            <v>43290</v>
          </cell>
          <cell r="B847">
            <v>2775.62</v>
          </cell>
          <cell r="C847">
            <v>2784.65</v>
          </cell>
          <cell r="D847">
            <v>2770.73</v>
          </cell>
          <cell r="E847">
            <v>2784.17</v>
          </cell>
          <cell r="F847">
            <v>2784.17</v>
          </cell>
        </row>
        <row r="848">
          <cell r="A848">
            <v>43291</v>
          </cell>
          <cell r="B848">
            <v>2788.56</v>
          </cell>
          <cell r="C848">
            <v>2795.58</v>
          </cell>
          <cell r="D848">
            <v>2786.24</v>
          </cell>
          <cell r="E848">
            <v>2793.84</v>
          </cell>
          <cell r="F848">
            <v>2793.84</v>
          </cell>
        </row>
        <row r="849">
          <cell r="A849">
            <v>43292</v>
          </cell>
          <cell r="B849">
            <v>2779.82</v>
          </cell>
          <cell r="C849">
            <v>2785.91</v>
          </cell>
          <cell r="D849">
            <v>2770.77</v>
          </cell>
          <cell r="E849">
            <v>2774.02</v>
          </cell>
          <cell r="F849">
            <v>2774.02</v>
          </cell>
        </row>
        <row r="850">
          <cell r="A850">
            <v>43293</v>
          </cell>
          <cell r="B850">
            <v>2783.14</v>
          </cell>
          <cell r="C850">
            <v>2799.22</v>
          </cell>
          <cell r="D850">
            <v>2781.53</v>
          </cell>
          <cell r="E850">
            <v>2798.29</v>
          </cell>
          <cell r="F850">
            <v>2798.29</v>
          </cell>
        </row>
        <row r="851">
          <cell r="A851">
            <v>43294</v>
          </cell>
          <cell r="B851">
            <v>2796.93</v>
          </cell>
          <cell r="C851">
            <v>2804.53</v>
          </cell>
          <cell r="D851">
            <v>2791.69</v>
          </cell>
          <cell r="E851">
            <v>2801.31</v>
          </cell>
          <cell r="F851">
            <v>2801.31</v>
          </cell>
        </row>
        <row r="852">
          <cell r="A852">
            <v>43297</v>
          </cell>
          <cell r="B852">
            <v>2797.36</v>
          </cell>
          <cell r="C852">
            <v>2801.19</v>
          </cell>
          <cell r="D852">
            <v>2793.39</v>
          </cell>
          <cell r="E852">
            <v>2798.43</v>
          </cell>
          <cell r="F852">
            <v>2798.43</v>
          </cell>
        </row>
        <row r="853">
          <cell r="A853">
            <v>43298</v>
          </cell>
          <cell r="B853">
            <v>2789.34</v>
          </cell>
          <cell r="C853">
            <v>2814.19</v>
          </cell>
          <cell r="D853">
            <v>2789.24</v>
          </cell>
          <cell r="E853">
            <v>2809.55</v>
          </cell>
          <cell r="F853">
            <v>2809.55</v>
          </cell>
        </row>
        <row r="854">
          <cell r="A854">
            <v>43299</v>
          </cell>
          <cell r="B854">
            <v>2811.35</v>
          </cell>
          <cell r="C854">
            <v>2816.76</v>
          </cell>
          <cell r="D854">
            <v>2805.89</v>
          </cell>
          <cell r="E854">
            <v>2815.62</v>
          </cell>
          <cell r="F854">
            <v>2815.62</v>
          </cell>
        </row>
        <row r="855">
          <cell r="A855">
            <v>43300</v>
          </cell>
          <cell r="B855">
            <v>2809.37</v>
          </cell>
          <cell r="C855">
            <v>2812.05</v>
          </cell>
          <cell r="D855">
            <v>2799.77</v>
          </cell>
          <cell r="E855">
            <v>2804.49</v>
          </cell>
          <cell r="F855">
            <v>2804.49</v>
          </cell>
        </row>
        <row r="856">
          <cell r="A856">
            <v>43301</v>
          </cell>
          <cell r="B856">
            <v>2804.55</v>
          </cell>
          <cell r="C856">
            <v>2809.7</v>
          </cell>
          <cell r="D856">
            <v>2800.01</v>
          </cell>
          <cell r="E856">
            <v>2801.83</v>
          </cell>
          <cell r="F856">
            <v>2801.83</v>
          </cell>
        </row>
        <row r="857">
          <cell r="A857">
            <v>43304</v>
          </cell>
          <cell r="B857">
            <v>2799.17</v>
          </cell>
          <cell r="C857">
            <v>2808.61</v>
          </cell>
          <cell r="D857">
            <v>2795.14</v>
          </cell>
          <cell r="E857">
            <v>2806.98</v>
          </cell>
          <cell r="F857">
            <v>2806.98</v>
          </cell>
        </row>
        <row r="858">
          <cell r="A858">
            <v>43305</v>
          </cell>
          <cell r="B858">
            <v>2820.68</v>
          </cell>
          <cell r="C858">
            <v>2829.99</v>
          </cell>
          <cell r="D858">
            <v>2811.12</v>
          </cell>
          <cell r="E858">
            <v>2820.4</v>
          </cell>
          <cell r="F858">
            <v>2820.4</v>
          </cell>
        </row>
        <row r="859">
          <cell r="A859">
            <v>43306</v>
          </cell>
          <cell r="B859">
            <v>2817.73</v>
          </cell>
          <cell r="C859">
            <v>2848.03</v>
          </cell>
          <cell r="D859">
            <v>2817.73</v>
          </cell>
          <cell r="E859">
            <v>2846.07</v>
          </cell>
          <cell r="F859">
            <v>2846.07</v>
          </cell>
        </row>
        <row r="860">
          <cell r="A860">
            <v>43307</v>
          </cell>
          <cell r="B860">
            <v>2835.49</v>
          </cell>
          <cell r="C860">
            <v>2845.57</v>
          </cell>
          <cell r="D860">
            <v>2835.26</v>
          </cell>
          <cell r="E860">
            <v>2837.44</v>
          </cell>
          <cell r="F860">
            <v>2837.44</v>
          </cell>
        </row>
        <row r="861">
          <cell r="A861">
            <v>43308</v>
          </cell>
          <cell r="B861">
            <v>2842.35</v>
          </cell>
          <cell r="C861">
            <v>2843.17</v>
          </cell>
          <cell r="D861">
            <v>2808.34</v>
          </cell>
          <cell r="E861">
            <v>2818.82</v>
          </cell>
          <cell r="F861">
            <v>2818.82</v>
          </cell>
        </row>
        <row r="862">
          <cell r="A862">
            <v>43311</v>
          </cell>
          <cell r="B862">
            <v>2819</v>
          </cell>
          <cell r="C862">
            <v>2821.74</v>
          </cell>
          <cell r="D862">
            <v>2798.11</v>
          </cell>
          <cell r="E862">
            <v>2802.6</v>
          </cell>
          <cell r="F862">
            <v>2802.6</v>
          </cell>
        </row>
        <row r="863">
          <cell r="A863">
            <v>43312</v>
          </cell>
          <cell r="B863">
            <v>2809.73</v>
          </cell>
          <cell r="C863">
            <v>2824.46</v>
          </cell>
          <cell r="D863">
            <v>2808.06</v>
          </cell>
          <cell r="E863">
            <v>2816.29</v>
          </cell>
          <cell r="F863">
            <v>2816.29</v>
          </cell>
        </row>
        <row r="864">
          <cell r="A864">
            <v>43313</v>
          </cell>
          <cell r="B864">
            <v>2821.17</v>
          </cell>
          <cell r="C864">
            <v>2825.83</v>
          </cell>
          <cell r="D864">
            <v>2805.85</v>
          </cell>
          <cell r="E864">
            <v>2813.36</v>
          </cell>
          <cell r="F864">
            <v>2813.36</v>
          </cell>
        </row>
        <row r="865">
          <cell r="A865">
            <v>43314</v>
          </cell>
          <cell r="B865">
            <v>2800.48</v>
          </cell>
          <cell r="C865">
            <v>2829.91</v>
          </cell>
          <cell r="D865">
            <v>2796.34</v>
          </cell>
          <cell r="E865">
            <v>2827.22</v>
          </cell>
          <cell r="F865">
            <v>2827.22</v>
          </cell>
        </row>
        <row r="866">
          <cell r="A866">
            <v>43315</v>
          </cell>
          <cell r="B866">
            <v>2829.62</v>
          </cell>
          <cell r="C866">
            <v>2840.38</v>
          </cell>
          <cell r="D866">
            <v>2827.37</v>
          </cell>
          <cell r="E866">
            <v>2840.35</v>
          </cell>
          <cell r="F866">
            <v>2840.35</v>
          </cell>
        </row>
        <row r="867">
          <cell r="A867">
            <v>43318</v>
          </cell>
          <cell r="B867">
            <v>2840.29</v>
          </cell>
          <cell r="C867">
            <v>2853.29</v>
          </cell>
          <cell r="D867">
            <v>2835.98</v>
          </cell>
          <cell r="E867">
            <v>2850.4</v>
          </cell>
          <cell r="F867">
            <v>2850.4</v>
          </cell>
        </row>
        <row r="868">
          <cell r="A868">
            <v>43319</v>
          </cell>
          <cell r="B868">
            <v>2855.92</v>
          </cell>
          <cell r="C868">
            <v>2863.43</v>
          </cell>
          <cell r="D868">
            <v>2855.92</v>
          </cell>
          <cell r="E868">
            <v>2858.45</v>
          </cell>
          <cell r="F868">
            <v>2858.45</v>
          </cell>
        </row>
        <row r="869">
          <cell r="A869">
            <v>43320</v>
          </cell>
          <cell r="B869">
            <v>2856.79</v>
          </cell>
          <cell r="C869">
            <v>2862.44</v>
          </cell>
          <cell r="D869">
            <v>2853.09</v>
          </cell>
          <cell r="E869">
            <v>2857.7</v>
          </cell>
          <cell r="F869">
            <v>2857.7</v>
          </cell>
        </row>
        <row r="870">
          <cell r="A870">
            <v>43321</v>
          </cell>
          <cell r="B870">
            <v>2857.19</v>
          </cell>
          <cell r="C870">
            <v>2862.48</v>
          </cell>
          <cell r="D870">
            <v>2851.98</v>
          </cell>
          <cell r="E870">
            <v>2853.58</v>
          </cell>
          <cell r="F870">
            <v>2853.58</v>
          </cell>
        </row>
        <row r="871">
          <cell r="A871">
            <v>43322</v>
          </cell>
          <cell r="B871">
            <v>2838.9</v>
          </cell>
          <cell r="C871">
            <v>2842.2</v>
          </cell>
          <cell r="D871">
            <v>2825.81</v>
          </cell>
          <cell r="E871">
            <v>2833.28</v>
          </cell>
          <cell r="F871">
            <v>2833.28</v>
          </cell>
        </row>
        <row r="872">
          <cell r="A872">
            <v>43325</v>
          </cell>
          <cell r="B872">
            <v>2835.46</v>
          </cell>
          <cell r="C872">
            <v>2843.4</v>
          </cell>
          <cell r="D872">
            <v>2819.88</v>
          </cell>
          <cell r="E872">
            <v>2821.93</v>
          </cell>
          <cell r="F872">
            <v>2821.93</v>
          </cell>
        </row>
        <row r="873">
          <cell r="A873">
            <v>43326</v>
          </cell>
          <cell r="B873">
            <v>2827.88</v>
          </cell>
          <cell r="C873">
            <v>2843.11</v>
          </cell>
          <cell r="D873">
            <v>2826.58</v>
          </cell>
          <cell r="E873">
            <v>2839.96</v>
          </cell>
          <cell r="F873">
            <v>2839.96</v>
          </cell>
        </row>
        <row r="874">
          <cell r="A874">
            <v>43327</v>
          </cell>
          <cell r="B874">
            <v>2827.95</v>
          </cell>
          <cell r="C874">
            <v>2827.95</v>
          </cell>
          <cell r="D874">
            <v>2802.49</v>
          </cell>
          <cell r="E874">
            <v>2818.37</v>
          </cell>
          <cell r="F874">
            <v>2818.37</v>
          </cell>
        </row>
        <row r="875">
          <cell r="A875">
            <v>43328</v>
          </cell>
          <cell r="B875">
            <v>2831.44</v>
          </cell>
          <cell r="C875">
            <v>2850.49</v>
          </cell>
          <cell r="D875">
            <v>2831.44</v>
          </cell>
          <cell r="E875">
            <v>2840.69</v>
          </cell>
          <cell r="F875">
            <v>2840.69</v>
          </cell>
        </row>
        <row r="876">
          <cell r="A876">
            <v>43329</v>
          </cell>
          <cell r="B876">
            <v>2838.32</v>
          </cell>
          <cell r="C876">
            <v>2855.63</v>
          </cell>
          <cell r="D876">
            <v>2833.73</v>
          </cell>
          <cell r="E876">
            <v>2850.13</v>
          </cell>
          <cell r="F876">
            <v>2850.13</v>
          </cell>
        </row>
        <row r="877">
          <cell r="A877">
            <v>43332</v>
          </cell>
          <cell r="B877">
            <v>2853.93</v>
          </cell>
          <cell r="C877">
            <v>2859.76</v>
          </cell>
          <cell r="D877">
            <v>2850.62</v>
          </cell>
          <cell r="E877">
            <v>2857.05</v>
          </cell>
          <cell r="F877">
            <v>2857.05</v>
          </cell>
        </row>
        <row r="878">
          <cell r="A878">
            <v>43333</v>
          </cell>
          <cell r="B878">
            <v>2861.51</v>
          </cell>
          <cell r="C878">
            <v>2873.23</v>
          </cell>
          <cell r="D878">
            <v>2861.32</v>
          </cell>
          <cell r="E878">
            <v>2862.96</v>
          </cell>
          <cell r="F878">
            <v>2862.96</v>
          </cell>
        </row>
        <row r="879">
          <cell r="A879">
            <v>43334</v>
          </cell>
          <cell r="B879">
            <v>2860.99</v>
          </cell>
          <cell r="C879">
            <v>2867.54</v>
          </cell>
          <cell r="D879">
            <v>2856.05</v>
          </cell>
          <cell r="E879">
            <v>2861.82</v>
          </cell>
          <cell r="F879">
            <v>2861.82</v>
          </cell>
        </row>
        <row r="880">
          <cell r="A880">
            <v>43335</v>
          </cell>
          <cell r="B880">
            <v>2860.29</v>
          </cell>
          <cell r="C880">
            <v>2868.78</v>
          </cell>
          <cell r="D880">
            <v>2854.03</v>
          </cell>
          <cell r="E880">
            <v>2856.98</v>
          </cell>
          <cell r="F880">
            <v>2856.98</v>
          </cell>
        </row>
        <row r="881">
          <cell r="A881">
            <v>43336</v>
          </cell>
          <cell r="B881">
            <v>2862.35</v>
          </cell>
          <cell r="C881">
            <v>2876.16</v>
          </cell>
          <cell r="D881">
            <v>2862.35</v>
          </cell>
          <cell r="E881">
            <v>2874.69</v>
          </cell>
          <cell r="F881">
            <v>2874.69</v>
          </cell>
        </row>
        <row r="882">
          <cell r="A882">
            <v>43339</v>
          </cell>
          <cell r="B882">
            <v>2884.69</v>
          </cell>
          <cell r="C882">
            <v>2898.25</v>
          </cell>
          <cell r="D882">
            <v>2884.69</v>
          </cell>
          <cell r="E882">
            <v>2896.74</v>
          </cell>
          <cell r="F882">
            <v>2896.74</v>
          </cell>
        </row>
        <row r="883">
          <cell r="A883">
            <v>43340</v>
          </cell>
          <cell r="B883">
            <v>2901.45</v>
          </cell>
          <cell r="C883">
            <v>2903.77</v>
          </cell>
          <cell r="D883">
            <v>2893.5</v>
          </cell>
          <cell r="E883">
            <v>2897.52</v>
          </cell>
          <cell r="F883">
            <v>2897.52</v>
          </cell>
        </row>
        <row r="884">
          <cell r="A884">
            <v>43341</v>
          </cell>
          <cell r="B884">
            <v>2900.62</v>
          </cell>
          <cell r="C884">
            <v>2916.5</v>
          </cell>
          <cell r="D884">
            <v>2898.4</v>
          </cell>
          <cell r="E884">
            <v>2914.04</v>
          </cell>
          <cell r="F884">
            <v>2914.04</v>
          </cell>
        </row>
        <row r="885">
          <cell r="A885">
            <v>43342</v>
          </cell>
          <cell r="B885">
            <v>2908.94</v>
          </cell>
          <cell r="C885">
            <v>2912.46</v>
          </cell>
          <cell r="D885">
            <v>2895.22</v>
          </cell>
          <cell r="E885">
            <v>2901.13</v>
          </cell>
          <cell r="F885">
            <v>2901.13</v>
          </cell>
        </row>
        <row r="886">
          <cell r="A886">
            <v>43343</v>
          </cell>
          <cell r="B886">
            <v>2898.37</v>
          </cell>
          <cell r="C886">
            <v>2906.32</v>
          </cell>
          <cell r="D886">
            <v>2891.73</v>
          </cell>
          <cell r="E886">
            <v>2901.52</v>
          </cell>
          <cell r="F886">
            <v>2901.52</v>
          </cell>
        </row>
        <row r="887">
          <cell r="A887">
            <v>43347</v>
          </cell>
          <cell r="B887">
            <v>2896.96</v>
          </cell>
          <cell r="C887">
            <v>2900.18</v>
          </cell>
          <cell r="D887">
            <v>2885.13</v>
          </cell>
          <cell r="E887">
            <v>2896.72</v>
          </cell>
          <cell r="F887">
            <v>2896.72</v>
          </cell>
        </row>
        <row r="888">
          <cell r="A888">
            <v>43348</v>
          </cell>
          <cell r="B888">
            <v>2891.59</v>
          </cell>
          <cell r="C888">
            <v>2894.21</v>
          </cell>
          <cell r="D888">
            <v>2876.92</v>
          </cell>
          <cell r="E888">
            <v>2888.6</v>
          </cell>
          <cell r="F888">
            <v>2888.6</v>
          </cell>
        </row>
        <row r="889">
          <cell r="A889">
            <v>43349</v>
          </cell>
          <cell r="B889">
            <v>2888.64</v>
          </cell>
          <cell r="C889">
            <v>2892.05</v>
          </cell>
          <cell r="D889">
            <v>2867.29</v>
          </cell>
          <cell r="E889">
            <v>2878.05</v>
          </cell>
          <cell r="F889">
            <v>2878.05</v>
          </cell>
        </row>
        <row r="890">
          <cell r="A890">
            <v>43350</v>
          </cell>
          <cell r="B890">
            <v>2868.26</v>
          </cell>
          <cell r="C890">
            <v>2883.81</v>
          </cell>
          <cell r="D890">
            <v>2864.12</v>
          </cell>
          <cell r="E890">
            <v>2871.68</v>
          </cell>
          <cell r="F890">
            <v>2871.68</v>
          </cell>
        </row>
        <row r="891">
          <cell r="A891">
            <v>43353</v>
          </cell>
          <cell r="B891">
            <v>2881.39</v>
          </cell>
          <cell r="C891">
            <v>2886.93</v>
          </cell>
          <cell r="D891">
            <v>2875.94</v>
          </cell>
          <cell r="E891">
            <v>2877.13</v>
          </cell>
          <cell r="F891">
            <v>2877.13</v>
          </cell>
        </row>
        <row r="892">
          <cell r="A892">
            <v>43354</v>
          </cell>
          <cell r="B892">
            <v>2871.57</v>
          </cell>
          <cell r="C892">
            <v>2892.52</v>
          </cell>
          <cell r="D892">
            <v>2866.78</v>
          </cell>
          <cell r="E892">
            <v>2887.89</v>
          </cell>
          <cell r="F892">
            <v>2887.89</v>
          </cell>
        </row>
        <row r="893">
          <cell r="A893">
            <v>43355</v>
          </cell>
          <cell r="B893">
            <v>2888.29</v>
          </cell>
          <cell r="C893">
            <v>2894.65</v>
          </cell>
          <cell r="D893">
            <v>2879.2</v>
          </cell>
          <cell r="E893">
            <v>2888.92</v>
          </cell>
          <cell r="F893">
            <v>2888.92</v>
          </cell>
        </row>
        <row r="894">
          <cell r="A894">
            <v>43356</v>
          </cell>
          <cell r="B894">
            <v>2896.85</v>
          </cell>
          <cell r="C894">
            <v>2906.76</v>
          </cell>
          <cell r="D894">
            <v>2896.39</v>
          </cell>
          <cell r="E894">
            <v>2904.18</v>
          </cell>
          <cell r="F894">
            <v>2904.18</v>
          </cell>
        </row>
        <row r="895">
          <cell r="A895">
            <v>43357</v>
          </cell>
          <cell r="B895">
            <v>2906.38</v>
          </cell>
          <cell r="C895">
            <v>2908.3</v>
          </cell>
          <cell r="D895">
            <v>2895.77</v>
          </cell>
          <cell r="E895">
            <v>2904.98</v>
          </cell>
          <cell r="F895">
            <v>2904.98</v>
          </cell>
        </row>
        <row r="896">
          <cell r="A896">
            <v>43360</v>
          </cell>
          <cell r="B896">
            <v>2903.83</v>
          </cell>
          <cell r="C896">
            <v>2904.65</v>
          </cell>
          <cell r="D896">
            <v>2886.16</v>
          </cell>
          <cell r="E896">
            <v>2888.8</v>
          </cell>
          <cell r="F896">
            <v>2888.8</v>
          </cell>
        </row>
        <row r="897">
          <cell r="A897">
            <v>43361</v>
          </cell>
          <cell r="B897">
            <v>2890.74</v>
          </cell>
          <cell r="C897">
            <v>2911.17</v>
          </cell>
          <cell r="D897">
            <v>2890.43</v>
          </cell>
          <cell r="E897">
            <v>2904.31</v>
          </cell>
          <cell r="F897">
            <v>2904.31</v>
          </cell>
        </row>
        <row r="898">
          <cell r="A898">
            <v>43362</v>
          </cell>
          <cell r="B898">
            <v>2906.6</v>
          </cell>
          <cell r="C898">
            <v>2912.36</v>
          </cell>
          <cell r="D898">
            <v>2903.82</v>
          </cell>
          <cell r="E898">
            <v>2907.95</v>
          </cell>
          <cell r="F898">
            <v>2907.95</v>
          </cell>
        </row>
        <row r="899">
          <cell r="A899">
            <v>43363</v>
          </cell>
          <cell r="B899">
            <v>2919.73</v>
          </cell>
          <cell r="C899">
            <v>2934.8</v>
          </cell>
          <cell r="D899">
            <v>2919.73</v>
          </cell>
          <cell r="E899">
            <v>2930.75</v>
          </cell>
          <cell r="F899">
            <v>2930.75</v>
          </cell>
        </row>
        <row r="900">
          <cell r="A900">
            <v>43364</v>
          </cell>
          <cell r="B900">
            <v>2936.76</v>
          </cell>
          <cell r="C900">
            <v>2940.91</v>
          </cell>
          <cell r="D900">
            <v>2927.11</v>
          </cell>
          <cell r="E900">
            <v>2929.67</v>
          </cell>
          <cell r="F900">
            <v>2929.67</v>
          </cell>
        </row>
        <row r="901">
          <cell r="A901">
            <v>43367</v>
          </cell>
          <cell r="B901">
            <v>2921.83</v>
          </cell>
          <cell r="C901">
            <v>2923.79</v>
          </cell>
          <cell r="D901">
            <v>2912.63</v>
          </cell>
          <cell r="E901">
            <v>2919.37</v>
          </cell>
          <cell r="F901">
            <v>2919.37</v>
          </cell>
        </row>
        <row r="902">
          <cell r="A902">
            <v>43368</v>
          </cell>
          <cell r="B902">
            <v>2921.75</v>
          </cell>
          <cell r="C902">
            <v>2923.95</v>
          </cell>
          <cell r="D902">
            <v>2913.7</v>
          </cell>
          <cell r="E902">
            <v>2915.56</v>
          </cell>
          <cell r="F902">
            <v>2915.56</v>
          </cell>
        </row>
        <row r="903">
          <cell r="A903">
            <v>43369</v>
          </cell>
          <cell r="B903">
            <v>2916.98</v>
          </cell>
          <cell r="C903">
            <v>2931.15</v>
          </cell>
          <cell r="D903">
            <v>2903.28</v>
          </cell>
          <cell r="E903">
            <v>2905.97</v>
          </cell>
          <cell r="F903">
            <v>2905.97</v>
          </cell>
        </row>
        <row r="904">
          <cell r="A904">
            <v>43370</v>
          </cell>
          <cell r="B904">
            <v>2911.65</v>
          </cell>
          <cell r="C904">
            <v>2927.22</v>
          </cell>
          <cell r="D904">
            <v>2909.27</v>
          </cell>
          <cell r="E904">
            <v>2914</v>
          </cell>
          <cell r="F904">
            <v>2914</v>
          </cell>
        </row>
        <row r="905">
          <cell r="A905">
            <v>43371</v>
          </cell>
          <cell r="B905">
            <v>2910.03</v>
          </cell>
          <cell r="C905">
            <v>2920.53</v>
          </cell>
          <cell r="D905">
            <v>2907.5</v>
          </cell>
          <cell r="E905">
            <v>2913.98</v>
          </cell>
          <cell r="F905">
            <v>2913.98</v>
          </cell>
        </row>
        <row r="906">
          <cell r="A906">
            <v>43374</v>
          </cell>
          <cell r="B906">
            <v>2926.29</v>
          </cell>
          <cell r="C906">
            <v>2937.06</v>
          </cell>
          <cell r="D906">
            <v>2917.91</v>
          </cell>
          <cell r="E906">
            <v>2924.59</v>
          </cell>
          <cell r="F906">
            <v>2924.59</v>
          </cell>
        </row>
        <row r="907">
          <cell r="A907">
            <v>43375</v>
          </cell>
          <cell r="B907">
            <v>2923.8</v>
          </cell>
          <cell r="C907">
            <v>2931.42</v>
          </cell>
          <cell r="D907">
            <v>2919.37</v>
          </cell>
          <cell r="E907">
            <v>2923.43</v>
          </cell>
          <cell r="F907">
            <v>2923.43</v>
          </cell>
        </row>
        <row r="908">
          <cell r="A908">
            <v>43376</v>
          </cell>
          <cell r="B908">
            <v>2931.69</v>
          </cell>
          <cell r="C908">
            <v>2939.86</v>
          </cell>
          <cell r="D908">
            <v>2921.36</v>
          </cell>
          <cell r="E908">
            <v>2925.51</v>
          </cell>
          <cell r="F908">
            <v>2925.51</v>
          </cell>
        </row>
        <row r="909">
          <cell r="A909">
            <v>43377</v>
          </cell>
          <cell r="B909">
            <v>2919.35</v>
          </cell>
          <cell r="C909">
            <v>2919.78</v>
          </cell>
          <cell r="D909">
            <v>2883.92</v>
          </cell>
          <cell r="E909">
            <v>2901.61</v>
          </cell>
          <cell r="F909">
            <v>2901.61</v>
          </cell>
        </row>
        <row r="910">
          <cell r="A910">
            <v>43378</v>
          </cell>
          <cell r="B910">
            <v>2902.54</v>
          </cell>
          <cell r="C910">
            <v>2909.64</v>
          </cell>
          <cell r="D910">
            <v>2869.29</v>
          </cell>
          <cell r="E910">
            <v>2885.57</v>
          </cell>
          <cell r="F910">
            <v>2885.57</v>
          </cell>
        </row>
        <row r="911">
          <cell r="A911">
            <v>43381</v>
          </cell>
          <cell r="B911">
            <v>2877.53</v>
          </cell>
          <cell r="C911">
            <v>2889.45</v>
          </cell>
          <cell r="D911">
            <v>2862.08</v>
          </cell>
          <cell r="E911">
            <v>2884.43</v>
          </cell>
          <cell r="F911">
            <v>2884.43</v>
          </cell>
        </row>
        <row r="912">
          <cell r="A912">
            <v>43382</v>
          </cell>
          <cell r="B912">
            <v>2882.51</v>
          </cell>
          <cell r="C912">
            <v>2894.83</v>
          </cell>
          <cell r="D912">
            <v>2874.27</v>
          </cell>
          <cell r="E912">
            <v>2880.34</v>
          </cell>
          <cell r="F912">
            <v>2880.34</v>
          </cell>
        </row>
        <row r="913">
          <cell r="A913">
            <v>43383</v>
          </cell>
          <cell r="B913">
            <v>2873.9</v>
          </cell>
          <cell r="C913">
            <v>2874.02</v>
          </cell>
          <cell r="D913">
            <v>2784.86</v>
          </cell>
          <cell r="E913">
            <v>2785.68</v>
          </cell>
          <cell r="F913">
            <v>2785.68</v>
          </cell>
        </row>
        <row r="914">
          <cell r="A914">
            <v>43384</v>
          </cell>
          <cell r="B914">
            <v>2776.87</v>
          </cell>
          <cell r="C914">
            <v>2795.14</v>
          </cell>
          <cell r="D914">
            <v>2710.51</v>
          </cell>
          <cell r="E914">
            <v>2728.37</v>
          </cell>
          <cell r="F914">
            <v>2728.37</v>
          </cell>
        </row>
        <row r="915">
          <cell r="A915">
            <v>43385</v>
          </cell>
          <cell r="B915">
            <v>2770.54</v>
          </cell>
          <cell r="C915">
            <v>2775.77</v>
          </cell>
          <cell r="D915">
            <v>2729.44</v>
          </cell>
          <cell r="E915">
            <v>2767.13</v>
          </cell>
          <cell r="F915">
            <v>2767.13</v>
          </cell>
        </row>
        <row r="916">
          <cell r="A916">
            <v>43388</v>
          </cell>
          <cell r="B916">
            <v>2763.83</v>
          </cell>
          <cell r="C916">
            <v>2775.99</v>
          </cell>
          <cell r="D916">
            <v>2749.03</v>
          </cell>
          <cell r="E916">
            <v>2750.79</v>
          </cell>
          <cell r="F916">
            <v>2750.79</v>
          </cell>
        </row>
        <row r="917">
          <cell r="A917">
            <v>43389</v>
          </cell>
          <cell r="B917">
            <v>2767.05</v>
          </cell>
          <cell r="C917">
            <v>2813.46</v>
          </cell>
          <cell r="D917">
            <v>2766.91</v>
          </cell>
          <cell r="E917">
            <v>2809.92</v>
          </cell>
          <cell r="F917">
            <v>2809.92</v>
          </cell>
        </row>
        <row r="918">
          <cell r="A918">
            <v>43390</v>
          </cell>
          <cell r="B918">
            <v>2811.67</v>
          </cell>
          <cell r="C918">
            <v>2816.94</v>
          </cell>
          <cell r="D918">
            <v>2781.81</v>
          </cell>
          <cell r="E918">
            <v>2809.21</v>
          </cell>
          <cell r="F918">
            <v>2809.21</v>
          </cell>
        </row>
        <row r="919">
          <cell r="A919">
            <v>43391</v>
          </cell>
          <cell r="B919">
            <v>2802</v>
          </cell>
          <cell r="C919">
            <v>2806.04</v>
          </cell>
          <cell r="D919">
            <v>2755.18</v>
          </cell>
          <cell r="E919">
            <v>2768.78</v>
          </cell>
          <cell r="F919">
            <v>2768.78</v>
          </cell>
        </row>
        <row r="920">
          <cell r="A920">
            <v>43392</v>
          </cell>
          <cell r="B920">
            <v>2775.66</v>
          </cell>
          <cell r="C920">
            <v>2797.77</v>
          </cell>
          <cell r="D920">
            <v>2760.27</v>
          </cell>
          <cell r="E920">
            <v>2767.78</v>
          </cell>
          <cell r="F920">
            <v>2767.78</v>
          </cell>
        </row>
        <row r="921">
          <cell r="A921">
            <v>43395</v>
          </cell>
          <cell r="B921">
            <v>2773.94</v>
          </cell>
          <cell r="C921">
            <v>2778.94</v>
          </cell>
          <cell r="D921">
            <v>2749.22</v>
          </cell>
          <cell r="E921">
            <v>2755.88</v>
          </cell>
          <cell r="F921">
            <v>2755.88</v>
          </cell>
        </row>
        <row r="922">
          <cell r="A922">
            <v>43396</v>
          </cell>
          <cell r="B922">
            <v>2721.03</v>
          </cell>
          <cell r="C922">
            <v>2753.59</v>
          </cell>
          <cell r="D922">
            <v>2691.43</v>
          </cell>
          <cell r="E922">
            <v>2740.69</v>
          </cell>
          <cell r="F922">
            <v>2740.69</v>
          </cell>
        </row>
        <row r="923">
          <cell r="A923">
            <v>43397</v>
          </cell>
          <cell r="B923">
            <v>2737.87</v>
          </cell>
          <cell r="C923">
            <v>2742.59</v>
          </cell>
          <cell r="D923">
            <v>2651.89</v>
          </cell>
          <cell r="E923">
            <v>2656.1</v>
          </cell>
          <cell r="F923">
            <v>2656.1</v>
          </cell>
        </row>
        <row r="924">
          <cell r="A924">
            <v>43398</v>
          </cell>
          <cell r="B924">
            <v>2674.88</v>
          </cell>
          <cell r="C924">
            <v>2722.7</v>
          </cell>
          <cell r="D924">
            <v>2667.84</v>
          </cell>
          <cell r="E924">
            <v>2705.57</v>
          </cell>
          <cell r="F924">
            <v>2705.57</v>
          </cell>
        </row>
        <row r="925">
          <cell r="A925">
            <v>43399</v>
          </cell>
          <cell r="B925">
            <v>2667.86</v>
          </cell>
          <cell r="C925">
            <v>2692.38</v>
          </cell>
          <cell r="D925">
            <v>2628.16</v>
          </cell>
          <cell r="E925">
            <v>2658.69</v>
          </cell>
          <cell r="F925">
            <v>2658.69</v>
          </cell>
        </row>
        <row r="926">
          <cell r="A926">
            <v>43402</v>
          </cell>
          <cell r="B926">
            <v>2682.65</v>
          </cell>
          <cell r="C926">
            <v>2706.85</v>
          </cell>
          <cell r="D926">
            <v>2603.54</v>
          </cell>
          <cell r="E926">
            <v>2641.25</v>
          </cell>
          <cell r="F926">
            <v>2641.25</v>
          </cell>
        </row>
        <row r="927">
          <cell r="A927">
            <v>43403</v>
          </cell>
          <cell r="B927">
            <v>2640.68</v>
          </cell>
          <cell r="C927">
            <v>2685.43</v>
          </cell>
          <cell r="D927">
            <v>2635.34</v>
          </cell>
          <cell r="E927">
            <v>2682.63</v>
          </cell>
          <cell r="F927">
            <v>2682.63</v>
          </cell>
        </row>
        <row r="928">
          <cell r="A928">
            <v>43404</v>
          </cell>
          <cell r="B928">
            <v>2705.6</v>
          </cell>
          <cell r="C928">
            <v>2736.69</v>
          </cell>
          <cell r="D928">
            <v>2705.6</v>
          </cell>
          <cell r="E928">
            <v>2711.74</v>
          </cell>
          <cell r="F928">
            <v>2711.74</v>
          </cell>
        </row>
        <row r="929">
          <cell r="A929">
            <v>43405</v>
          </cell>
          <cell r="B929">
            <v>2717.58</v>
          </cell>
          <cell r="C929">
            <v>2741.67</v>
          </cell>
          <cell r="D929">
            <v>2708.85</v>
          </cell>
          <cell r="E929">
            <v>2740.37</v>
          </cell>
          <cell r="F929">
            <v>2740.37</v>
          </cell>
        </row>
        <row r="930">
          <cell r="A930">
            <v>43406</v>
          </cell>
          <cell r="B930">
            <v>2745.45</v>
          </cell>
          <cell r="C930">
            <v>2756.55</v>
          </cell>
          <cell r="D930">
            <v>2700.44</v>
          </cell>
          <cell r="E930">
            <v>2723.06</v>
          </cell>
          <cell r="F930">
            <v>2723.06</v>
          </cell>
        </row>
        <row r="931">
          <cell r="A931">
            <v>43409</v>
          </cell>
          <cell r="B931">
            <v>2726.37</v>
          </cell>
          <cell r="C931">
            <v>2744.27</v>
          </cell>
          <cell r="D931">
            <v>2717.94</v>
          </cell>
          <cell r="E931">
            <v>2738.31</v>
          </cell>
          <cell r="F931">
            <v>2738.31</v>
          </cell>
        </row>
        <row r="932">
          <cell r="A932">
            <v>43410</v>
          </cell>
          <cell r="B932">
            <v>2738.4</v>
          </cell>
          <cell r="C932">
            <v>2756.82</v>
          </cell>
          <cell r="D932">
            <v>2737.08</v>
          </cell>
          <cell r="E932">
            <v>2755.45</v>
          </cell>
          <cell r="F932">
            <v>2755.45</v>
          </cell>
        </row>
        <row r="933">
          <cell r="A933">
            <v>43411</v>
          </cell>
          <cell r="B933">
            <v>2774.13</v>
          </cell>
          <cell r="C933">
            <v>2815.15</v>
          </cell>
          <cell r="D933">
            <v>2774.13</v>
          </cell>
          <cell r="E933">
            <v>2813.89</v>
          </cell>
          <cell r="F933">
            <v>2813.89</v>
          </cell>
        </row>
        <row r="934">
          <cell r="A934">
            <v>43412</v>
          </cell>
          <cell r="B934">
            <v>2806.38</v>
          </cell>
          <cell r="C934">
            <v>2814.75</v>
          </cell>
          <cell r="D934">
            <v>2794.99</v>
          </cell>
          <cell r="E934">
            <v>2806.83</v>
          </cell>
          <cell r="F934">
            <v>2806.83</v>
          </cell>
        </row>
        <row r="935">
          <cell r="A935">
            <v>43413</v>
          </cell>
          <cell r="B935">
            <v>2794.1</v>
          </cell>
          <cell r="C935">
            <v>2794.1</v>
          </cell>
          <cell r="D935">
            <v>2764.24</v>
          </cell>
          <cell r="E935">
            <v>2781.01</v>
          </cell>
          <cell r="F935">
            <v>2781.01</v>
          </cell>
        </row>
        <row r="936">
          <cell r="A936">
            <v>43416</v>
          </cell>
          <cell r="B936">
            <v>2773.93</v>
          </cell>
          <cell r="C936">
            <v>2775.99</v>
          </cell>
          <cell r="D936">
            <v>2722</v>
          </cell>
          <cell r="E936">
            <v>2726.22</v>
          </cell>
          <cell r="F936">
            <v>2726.22</v>
          </cell>
        </row>
        <row r="937">
          <cell r="A937">
            <v>43417</v>
          </cell>
          <cell r="B937">
            <v>2730.05</v>
          </cell>
          <cell r="C937">
            <v>2754.6</v>
          </cell>
          <cell r="D937">
            <v>2714.98</v>
          </cell>
          <cell r="E937">
            <v>2722.18</v>
          </cell>
          <cell r="F937">
            <v>2722.18</v>
          </cell>
        </row>
        <row r="938">
          <cell r="A938">
            <v>43418</v>
          </cell>
          <cell r="B938">
            <v>2737.9</v>
          </cell>
          <cell r="C938">
            <v>2746.8</v>
          </cell>
          <cell r="D938">
            <v>2685.75</v>
          </cell>
          <cell r="E938">
            <v>2701.58</v>
          </cell>
          <cell r="F938">
            <v>2701.58</v>
          </cell>
        </row>
        <row r="939">
          <cell r="A939">
            <v>43419</v>
          </cell>
          <cell r="B939">
            <v>2693.52</v>
          </cell>
          <cell r="C939">
            <v>2735.38</v>
          </cell>
          <cell r="D939">
            <v>2670.75</v>
          </cell>
          <cell r="E939">
            <v>2730.2</v>
          </cell>
          <cell r="F939">
            <v>2730.2</v>
          </cell>
        </row>
        <row r="940">
          <cell r="A940">
            <v>43420</v>
          </cell>
          <cell r="B940">
            <v>2718.54</v>
          </cell>
          <cell r="C940">
            <v>2746.75</v>
          </cell>
          <cell r="D940">
            <v>2712.16</v>
          </cell>
          <cell r="E940">
            <v>2736.27</v>
          </cell>
          <cell r="F940">
            <v>2736.27</v>
          </cell>
        </row>
        <row r="941">
          <cell r="A941">
            <v>43423</v>
          </cell>
          <cell r="B941">
            <v>2730.74</v>
          </cell>
          <cell r="C941">
            <v>2733.16</v>
          </cell>
          <cell r="D941">
            <v>2681.09</v>
          </cell>
          <cell r="E941">
            <v>2690.73</v>
          </cell>
          <cell r="F941">
            <v>2690.73</v>
          </cell>
        </row>
        <row r="942">
          <cell r="A942">
            <v>43424</v>
          </cell>
          <cell r="B942">
            <v>2654.6</v>
          </cell>
          <cell r="C942">
            <v>2669.44</v>
          </cell>
          <cell r="D942">
            <v>2631.52</v>
          </cell>
          <cell r="E942">
            <v>2641.89</v>
          </cell>
          <cell r="F942">
            <v>2641.89</v>
          </cell>
        </row>
        <row r="943">
          <cell r="A943">
            <v>43425</v>
          </cell>
          <cell r="B943">
            <v>2657.74</v>
          </cell>
          <cell r="C943">
            <v>2670.73</v>
          </cell>
          <cell r="D943">
            <v>2649.82</v>
          </cell>
          <cell r="E943">
            <v>2649.93</v>
          </cell>
          <cell r="F943">
            <v>2649.93</v>
          </cell>
        </row>
        <row r="944">
          <cell r="A944">
            <v>43427</v>
          </cell>
          <cell r="B944">
            <v>2633.36</v>
          </cell>
          <cell r="C944">
            <v>2647.55</v>
          </cell>
          <cell r="D944">
            <v>2631.09</v>
          </cell>
          <cell r="E944">
            <v>2632.56</v>
          </cell>
          <cell r="F944">
            <v>2632.56</v>
          </cell>
        </row>
        <row r="945">
          <cell r="A945">
            <v>43430</v>
          </cell>
          <cell r="B945">
            <v>2649.97</v>
          </cell>
          <cell r="C945">
            <v>2674.35</v>
          </cell>
          <cell r="D945">
            <v>2649.97</v>
          </cell>
          <cell r="E945">
            <v>2673.45</v>
          </cell>
          <cell r="F945">
            <v>2673.45</v>
          </cell>
        </row>
        <row r="946">
          <cell r="A946">
            <v>43431</v>
          </cell>
          <cell r="B946">
            <v>2663.75</v>
          </cell>
          <cell r="C946">
            <v>2682.53</v>
          </cell>
          <cell r="D946">
            <v>2655.89</v>
          </cell>
          <cell r="E946">
            <v>2682.17</v>
          </cell>
          <cell r="F946">
            <v>2682.17</v>
          </cell>
        </row>
        <row r="947">
          <cell r="A947">
            <v>43432</v>
          </cell>
          <cell r="B947">
            <v>2691.45</v>
          </cell>
          <cell r="C947">
            <v>2744</v>
          </cell>
          <cell r="D947">
            <v>2684.38</v>
          </cell>
          <cell r="E947">
            <v>2743.79</v>
          </cell>
          <cell r="F947">
            <v>2743.79</v>
          </cell>
        </row>
        <row r="948">
          <cell r="A948">
            <v>43433</v>
          </cell>
          <cell r="B948">
            <v>2736.97</v>
          </cell>
          <cell r="C948">
            <v>2753.75</v>
          </cell>
          <cell r="D948">
            <v>2722.94</v>
          </cell>
          <cell r="E948">
            <v>2737.8</v>
          </cell>
          <cell r="F948">
            <v>2737.8</v>
          </cell>
        </row>
        <row r="949">
          <cell r="A949">
            <v>43434</v>
          </cell>
          <cell r="B949">
            <v>2737.76</v>
          </cell>
          <cell r="C949">
            <v>2760.88</v>
          </cell>
          <cell r="D949">
            <v>2732.76</v>
          </cell>
          <cell r="E949">
            <v>2760.17</v>
          </cell>
          <cell r="F949">
            <v>2760.17</v>
          </cell>
        </row>
        <row r="950">
          <cell r="A950">
            <v>43437</v>
          </cell>
          <cell r="B950">
            <v>2790.5</v>
          </cell>
          <cell r="C950">
            <v>2800.18</v>
          </cell>
          <cell r="D950">
            <v>2773.38</v>
          </cell>
          <cell r="E950">
            <v>2790.37</v>
          </cell>
          <cell r="F950">
            <v>2790.37</v>
          </cell>
        </row>
        <row r="951">
          <cell r="A951">
            <v>43438</v>
          </cell>
          <cell r="B951">
            <v>2782.43</v>
          </cell>
          <cell r="C951">
            <v>2785.93</v>
          </cell>
          <cell r="D951">
            <v>2697.18</v>
          </cell>
          <cell r="E951">
            <v>2700.06</v>
          </cell>
          <cell r="F951">
            <v>2700.06</v>
          </cell>
        </row>
        <row r="952">
          <cell r="A952">
            <v>43440</v>
          </cell>
          <cell r="B952">
            <v>2663.51</v>
          </cell>
          <cell r="C952">
            <v>2696.15</v>
          </cell>
          <cell r="D952">
            <v>2621.53</v>
          </cell>
          <cell r="E952">
            <v>2695.95</v>
          </cell>
          <cell r="F952">
            <v>2695.95</v>
          </cell>
        </row>
        <row r="953">
          <cell r="A953">
            <v>43441</v>
          </cell>
          <cell r="B953">
            <v>2691.26</v>
          </cell>
          <cell r="C953">
            <v>2708.54</v>
          </cell>
          <cell r="D953">
            <v>2623.14</v>
          </cell>
          <cell r="E953">
            <v>2633.08</v>
          </cell>
          <cell r="F953">
            <v>2633.08</v>
          </cell>
        </row>
        <row r="954">
          <cell r="A954">
            <v>43444</v>
          </cell>
          <cell r="B954">
            <v>2630.86</v>
          </cell>
          <cell r="C954">
            <v>2647.51</v>
          </cell>
          <cell r="D954">
            <v>2583.23</v>
          </cell>
          <cell r="E954">
            <v>2637.72</v>
          </cell>
          <cell r="F954">
            <v>2637.72</v>
          </cell>
        </row>
        <row r="955">
          <cell r="A955">
            <v>43445</v>
          </cell>
          <cell r="B955">
            <v>2664.44</v>
          </cell>
          <cell r="C955">
            <v>2674.35</v>
          </cell>
          <cell r="D955">
            <v>2621.3000000000002</v>
          </cell>
          <cell r="E955">
            <v>2636.78</v>
          </cell>
          <cell r="F955">
            <v>2636.78</v>
          </cell>
        </row>
        <row r="956">
          <cell r="A956">
            <v>43446</v>
          </cell>
          <cell r="B956">
            <v>2658.23</v>
          </cell>
          <cell r="C956">
            <v>2685.44</v>
          </cell>
          <cell r="D956">
            <v>2650.26</v>
          </cell>
          <cell r="E956">
            <v>2651.07</v>
          </cell>
          <cell r="F956">
            <v>2651.07</v>
          </cell>
        </row>
        <row r="957">
          <cell r="A957">
            <v>43447</v>
          </cell>
          <cell r="B957">
            <v>2658.7</v>
          </cell>
          <cell r="C957">
            <v>2670.19</v>
          </cell>
          <cell r="D957">
            <v>2637.27</v>
          </cell>
          <cell r="E957">
            <v>2650.54</v>
          </cell>
          <cell r="F957">
            <v>2650.54</v>
          </cell>
        </row>
        <row r="958">
          <cell r="A958">
            <v>43448</v>
          </cell>
          <cell r="B958">
            <v>2629.68</v>
          </cell>
          <cell r="C958">
            <v>2635.07</v>
          </cell>
          <cell r="D958">
            <v>2593.84</v>
          </cell>
          <cell r="E958">
            <v>2599.9499999999998</v>
          </cell>
          <cell r="F958">
            <v>2599.9499999999998</v>
          </cell>
        </row>
        <row r="959">
          <cell r="A959">
            <v>43451</v>
          </cell>
          <cell r="B959">
            <v>2590.75</v>
          </cell>
          <cell r="C959">
            <v>2601.13</v>
          </cell>
          <cell r="D959">
            <v>2530.54</v>
          </cell>
          <cell r="E959">
            <v>2545.94</v>
          </cell>
          <cell r="F959">
            <v>2545.94</v>
          </cell>
        </row>
        <row r="960">
          <cell r="A960">
            <v>43452</v>
          </cell>
          <cell r="B960">
            <v>2559.9</v>
          </cell>
          <cell r="C960">
            <v>2573.9899999999998</v>
          </cell>
          <cell r="D960">
            <v>2528.71</v>
          </cell>
          <cell r="E960">
            <v>2546.16</v>
          </cell>
          <cell r="F960">
            <v>2546.16</v>
          </cell>
        </row>
        <row r="961">
          <cell r="A961">
            <v>43453</v>
          </cell>
          <cell r="B961">
            <v>2547.0500000000002</v>
          </cell>
          <cell r="C961">
            <v>2585.29</v>
          </cell>
          <cell r="D961">
            <v>2488.96</v>
          </cell>
          <cell r="E961">
            <v>2506.96</v>
          </cell>
          <cell r="F961">
            <v>2506.96</v>
          </cell>
        </row>
        <row r="962">
          <cell r="A962">
            <v>43454</v>
          </cell>
          <cell r="B962">
            <v>2496.77</v>
          </cell>
          <cell r="C962">
            <v>2509.63</v>
          </cell>
          <cell r="D962">
            <v>2441.1799999999998</v>
          </cell>
          <cell r="E962">
            <v>2467.42</v>
          </cell>
          <cell r="F962">
            <v>2467.42</v>
          </cell>
        </row>
        <row r="963">
          <cell r="A963">
            <v>43455</v>
          </cell>
          <cell r="B963">
            <v>2465.38</v>
          </cell>
          <cell r="C963">
            <v>2504.41</v>
          </cell>
          <cell r="D963">
            <v>2408.5500000000002</v>
          </cell>
          <cell r="E963">
            <v>2416.62</v>
          </cell>
          <cell r="F963">
            <v>2416.62</v>
          </cell>
        </row>
        <row r="964">
          <cell r="A964">
            <v>43458</v>
          </cell>
          <cell r="B964">
            <v>2400.56</v>
          </cell>
          <cell r="C964">
            <v>2410.34</v>
          </cell>
          <cell r="D964">
            <v>2351.1</v>
          </cell>
          <cell r="E964">
            <v>2351.1</v>
          </cell>
          <cell r="F964">
            <v>2351.1</v>
          </cell>
        </row>
        <row r="965">
          <cell r="A965">
            <v>43460</v>
          </cell>
          <cell r="B965">
            <v>2363.12</v>
          </cell>
          <cell r="C965">
            <v>2467.7600000000002</v>
          </cell>
          <cell r="D965">
            <v>2346.58</v>
          </cell>
          <cell r="E965">
            <v>2467.6999999999998</v>
          </cell>
          <cell r="F965">
            <v>2467.6999999999998</v>
          </cell>
        </row>
        <row r="966">
          <cell r="A966">
            <v>43461</v>
          </cell>
          <cell r="B966">
            <v>2442.5</v>
          </cell>
          <cell r="C966">
            <v>2489.1</v>
          </cell>
          <cell r="D966">
            <v>2397.94</v>
          </cell>
          <cell r="E966">
            <v>2488.83</v>
          </cell>
          <cell r="F966">
            <v>2488.83</v>
          </cell>
        </row>
        <row r="967">
          <cell r="A967">
            <v>43462</v>
          </cell>
          <cell r="B967">
            <v>2498.77</v>
          </cell>
          <cell r="C967">
            <v>2520.27</v>
          </cell>
          <cell r="D967">
            <v>2472.89</v>
          </cell>
          <cell r="E967">
            <v>2485.7399999999998</v>
          </cell>
          <cell r="F967">
            <v>2485.7399999999998</v>
          </cell>
        </row>
        <row r="968">
          <cell r="A968">
            <v>43465</v>
          </cell>
          <cell r="B968">
            <v>2498.94</v>
          </cell>
          <cell r="C968">
            <v>2509.2399999999998</v>
          </cell>
          <cell r="D968">
            <v>2482.8200000000002</v>
          </cell>
          <cell r="E968">
            <v>2506.85</v>
          </cell>
          <cell r="F968">
            <v>2506.85</v>
          </cell>
        </row>
        <row r="969">
          <cell r="A969">
            <v>43467</v>
          </cell>
          <cell r="B969">
            <v>2476.96</v>
          </cell>
          <cell r="C969">
            <v>2519.4899999999998</v>
          </cell>
          <cell r="D969">
            <v>2467.4699999999998</v>
          </cell>
          <cell r="E969">
            <v>2510.0300000000002</v>
          </cell>
          <cell r="F969">
            <v>2510.0300000000002</v>
          </cell>
        </row>
        <row r="970">
          <cell r="A970">
            <v>43468</v>
          </cell>
          <cell r="B970">
            <v>2491.92</v>
          </cell>
          <cell r="C970">
            <v>2493.14</v>
          </cell>
          <cell r="D970">
            <v>2443.96</v>
          </cell>
          <cell r="E970">
            <v>2447.89</v>
          </cell>
          <cell r="F970">
            <v>2447.89</v>
          </cell>
        </row>
        <row r="971">
          <cell r="A971">
            <v>43469</v>
          </cell>
          <cell r="B971">
            <v>2474.33</v>
          </cell>
          <cell r="C971">
            <v>2538.0700000000002</v>
          </cell>
          <cell r="D971">
            <v>2474.33</v>
          </cell>
          <cell r="E971">
            <v>2531.94</v>
          </cell>
          <cell r="F971">
            <v>2531.94</v>
          </cell>
        </row>
        <row r="972">
          <cell r="A972">
            <v>43472</v>
          </cell>
          <cell r="B972">
            <v>2535.61</v>
          </cell>
          <cell r="C972">
            <v>2566.16</v>
          </cell>
          <cell r="D972">
            <v>2524.56</v>
          </cell>
          <cell r="E972">
            <v>2549.69</v>
          </cell>
          <cell r="F972">
            <v>2549.69</v>
          </cell>
        </row>
        <row r="973">
          <cell r="A973">
            <v>43473</v>
          </cell>
          <cell r="B973">
            <v>2568.11</v>
          </cell>
          <cell r="C973">
            <v>2579.8200000000002</v>
          </cell>
          <cell r="D973">
            <v>2547.56</v>
          </cell>
          <cell r="E973">
            <v>2574.41</v>
          </cell>
          <cell r="F973">
            <v>2574.41</v>
          </cell>
        </row>
        <row r="974">
          <cell r="A974">
            <v>43474</v>
          </cell>
          <cell r="B974">
            <v>2580</v>
          </cell>
          <cell r="C974">
            <v>2595.3200000000002</v>
          </cell>
          <cell r="D974">
            <v>2568.89</v>
          </cell>
          <cell r="E974">
            <v>2584.96</v>
          </cell>
          <cell r="F974">
            <v>2584.96</v>
          </cell>
        </row>
        <row r="975">
          <cell r="A975">
            <v>43475</v>
          </cell>
          <cell r="B975">
            <v>2573.5100000000002</v>
          </cell>
          <cell r="C975">
            <v>2597.8200000000002</v>
          </cell>
          <cell r="D975">
            <v>2562.02</v>
          </cell>
          <cell r="E975">
            <v>2596.64</v>
          </cell>
          <cell r="F975">
            <v>2596.64</v>
          </cell>
        </row>
        <row r="976">
          <cell r="A976">
            <v>43476</v>
          </cell>
          <cell r="B976">
            <v>2588.11</v>
          </cell>
          <cell r="C976">
            <v>2596.27</v>
          </cell>
          <cell r="D976">
            <v>2577.4</v>
          </cell>
          <cell r="E976">
            <v>2596.2600000000002</v>
          </cell>
          <cell r="F976">
            <v>2596.2600000000002</v>
          </cell>
        </row>
        <row r="977">
          <cell r="A977">
            <v>43479</v>
          </cell>
          <cell r="B977">
            <v>2580.31</v>
          </cell>
          <cell r="C977">
            <v>2589.3200000000002</v>
          </cell>
          <cell r="D977">
            <v>2570.41</v>
          </cell>
          <cell r="E977">
            <v>2582.61</v>
          </cell>
          <cell r="F977">
            <v>2582.61</v>
          </cell>
        </row>
        <row r="978">
          <cell r="A978">
            <v>43480</v>
          </cell>
          <cell r="B978">
            <v>2585.1</v>
          </cell>
          <cell r="C978">
            <v>2613.08</v>
          </cell>
          <cell r="D978">
            <v>2585.1</v>
          </cell>
          <cell r="E978">
            <v>2610.3000000000002</v>
          </cell>
          <cell r="F978">
            <v>2610.3000000000002</v>
          </cell>
        </row>
        <row r="979">
          <cell r="A979">
            <v>43481</v>
          </cell>
          <cell r="B979">
            <v>2614.75</v>
          </cell>
          <cell r="C979">
            <v>2625.76</v>
          </cell>
          <cell r="D979">
            <v>2612.6799999999998</v>
          </cell>
          <cell r="E979">
            <v>2616.1</v>
          </cell>
          <cell r="F979">
            <v>2616.1</v>
          </cell>
        </row>
        <row r="980">
          <cell r="A980">
            <v>43482</v>
          </cell>
          <cell r="B980">
            <v>2609.2800000000002</v>
          </cell>
          <cell r="C980">
            <v>2645.06</v>
          </cell>
          <cell r="D980">
            <v>2606.36</v>
          </cell>
          <cell r="E980">
            <v>2635.96</v>
          </cell>
          <cell r="F980">
            <v>2635.96</v>
          </cell>
        </row>
        <row r="981">
          <cell r="A981">
            <v>43483</v>
          </cell>
          <cell r="B981">
            <v>2651.27</v>
          </cell>
          <cell r="C981">
            <v>2675.47</v>
          </cell>
          <cell r="D981">
            <v>2647.58</v>
          </cell>
          <cell r="E981">
            <v>2670.71</v>
          </cell>
          <cell r="F981">
            <v>2670.71</v>
          </cell>
        </row>
        <row r="982">
          <cell r="A982">
            <v>43487</v>
          </cell>
          <cell r="B982">
            <v>2657.88</v>
          </cell>
          <cell r="C982">
            <v>2657.88</v>
          </cell>
          <cell r="D982">
            <v>2617.27</v>
          </cell>
          <cell r="E982">
            <v>2632.9</v>
          </cell>
          <cell r="F982">
            <v>2632.9</v>
          </cell>
        </row>
        <row r="983">
          <cell r="A983">
            <v>43488</v>
          </cell>
          <cell r="B983">
            <v>2643.48</v>
          </cell>
          <cell r="C983">
            <v>2653.19</v>
          </cell>
          <cell r="D983">
            <v>2612.86</v>
          </cell>
          <cell r="E983">
            <v>2638.7</v>
          </cell>
          <cell r="F983">
            <v>2638.7</v>
          </cell>
        </row>
        <row r="984">
          <cell r="A984">
            <v>43489</v>
          </cell>
          <cell r="B984">
            <v>2638.84</v>
          </cell>
          <cell r="C984">
            <v>2647.2</v>
          </cell>
          <cell r="D984">
            <v>2627.01</v>
          </cell>
          <cell r="E984">
            <v>2642.33</v>
          </cell>
          <cell r="F984">
            <v>2642.33</v>
          </cell>
        </row>
        <row r="985">
          <cell r="A985">
            <v>43490</v>
          </cell>
          <cell r="B985">
            <v>2657.44</v>
          </cell>
          <cell r="C985">
            <v>2672.38</v>
          </cell>
          <cell r="D985">
            <v>2657.33</v>
          </cell>
          <cell r="E985">
            <v>2664.76</v>
          </cell>
          <cell r="F985">
            <v>2664.76</v>
          </cell>
        </row>
        <row r="986">
          <cell r="A986">
            <v>43493</v>
          </cell>
          <cell r="B986">
            <v>2644.97</v>
          </cell>
          <cell r="C986">
            <v>2644.97</v>
          </cell>
          <cell r="D986">
            <v>2624.06</v>
          </cell>
          <cell r="E986">
            <v>2643.85</v>
          </cell>
          <cell r="F986">
            <v>2643.85</v>
          </cell>
        </row>
        <row r="987">
          <cell r="A987">
            <v>43494</v>
          </cell>
          <cell r="B987">
            <v>2644.89</v>
          </cell>
          <cell r="C987">
            <v>2650.93</v>
          </cell>
          <cell r="D987">
            <v>2631.05</v>
          </cell>
          <cell r="E987">
            <v>2640</v>
          </cell>
          <cell r="F987">
            <v>2640</v>
          </cell>
        </row>
        <row r="988">
          <cell r="A988">
            <v>43495</v>
          </cell>
          <cell r="B988">
            <v>2653.62</v>
          </cell>
          <cell r="C988">
            <v>2690.44</v>
          </cell>
          <cell r="D988">
            <v>2648.34</v>
          </cell>
          <cell r="E988">
            <v>2681.05</v>
          </cell>
          <cell r="F988">
            <v>2681.05</v>
          </cell>
        </row>
        <row r="989">
          <cell r="A989">
            <v>43496</v>
          </cell>
          <cell r="B989">
            <v>2685.49</v>
          </cell>
          <cell r="C989">
            <v>2708.95</v>
          </cell>
          <cell r="D989">
            <v>2678.65</v>
          </cell>
          <cell r="E989">
            <v>2704.1</v>
          </cell>
          <cell r="F989">
            <v>2704.1</v>
          </cell>
        </row>
        <row r="990">
          <cell r="A990">
            <v>43497</v>
          </cell>
          <cell r="B990">
            <v>2702.32</v>
          </cell>
          <cell r="C990">
            <v>2716.66</v>
          </cell>
          <cell r="D990">
            <v>2696.88</v>
          </cell>
          <cell r="E990">
            <v>2706.53</v>
          </cell>
          <cell r="F990">
            <v>2706.53</v>
          </cell>
        </row>
        <row r="991">
          <cell r="A991">
            <v>43500</v>
          </cell>
          <cell r="B991">
            <v>2706.49</v>
          </cell>
          <cell r="C991">
            <v>2724.99</v>
          </cell>
          <cell r="D991">
            <v>2698.75</v>
          </cell>
          <cell r="E991">
            <v>2724.87</v>
          </cell>
          <cell r="F991">
            <v>2724.87</v>
          </cell>
        </row>
        <row r="992">
          <cell r="A992">
            <v>43501</v>
          </cell>
          <cell r="B992">
            <v>2728.34</v>
          </cell>
          <cell r="C992">
            <v>2738.98</v>
          </cell>
          <cell r="D992">
            <v>2724.03</v>
          </cell>
          <cell r="E992">
            <v>2737.7</v>
          </cell>
          <cell r="F992">
            <v>2737.7</v>
          </cell>
        </row>
        <row r="993">
          <cell r="A993">
            <v>43502</v>
          </cell>
          <cell r="B993">
            <v>2735.05</v>
          </cell>
          <cell r="C993">
            <v>2738.08</v>
          </cell>
          <cell r="D993">
            <v>2724.15</v>
          </cell>
          <cell r="E993">
            <v>2731.61</v>
          </cell>
          <cell r="F993">
            <v>2731.61</v>
          </cell>
        </row>
        <row r="994">
          <cell r="A994">
            <v>43503</v>
          </cell>
          <cell r="B994">
            <v>2717.53</v>
          </cell>
          <cell r="C994">
            <v>2719.32</v>
          </cell>
          <cell r="D994">
            <v>2687.26</v>
          </cell>
          <cell r="E994">
            <v>2706.05</v>
          </cell>
          <cell r="F994">
            <v>2706.05</v>
          </cell>
        </row>
        <row r="995">
          <cell r="A995">
            <v>43504</v>
          </cell>
          <cell r="B995">
            <v>2692.36</v>
          </cell>
          <cell r="C995">
            <v>2708.07</v>
          </cell>
          <cell r="D995">
            <v>2681.83</v>
          </cell>
          <cell r="E995">
            <v>2707.88</v>
          </cell>
          <cell r="F995">
            <v>2707.88</v>
          </cell>
        </row>
        <row r="996">
          <cell r="A996">
            <v>43507</v>
          </cell>
          <cell r="B996">
            <v>2712.4</v>
          </cell>
          <cell r="C996">
            <v>2718.05</v>
          </cell>
          <cell r="D996">
            <v>2703.79</v>
          </cell>
          <cell r="E996">
            <v>2709.8</v>
          </cell>
          <cell r="F996">
            <v>2709.8</v>
          </cell>
        </row>
        <row r="997">
          <cell r="A997">
            <v>43508</v>
          </cell>
          <cell r="B997">
            <v>2722.61</v>
          </cell>
          <cell r="C997">
            <v>2748.19</v>
          </cell>
          <cell r="D997">
            <v>2722.61</v>
          </cell>
          <cell r="E997">
            <v>2744.73</v>
          </cell>
          <cell r="F997">
            <v>2744.73</v>
          </cell>
        </row>
        <row r="998">
          <cell r="A998">
            <v>43509</v>
          </cell>
          <cell r="B998">
            <v>2750.3</v>
          </cell>
          <cell r="C998">
            <v>2761.85</v>
          </cell>
          <cell r="D998">
            <v>2748.63</v>
          </cell>
          <cell r="E998">
            <v>2753.03</v>
          </cell>
          <cell r="F998">
            <v>2753.03</v>
          </cell>
        </row>
        <row r="999">
          <cell r="A999">
            <v>43510</v>
          </cell>
          <cell r="B999">
            <v>2743.5</v>
          </cell>
          <cell r="C999">
            <v>2757.9</v>
          </cell>
          <cell r="D999">
            <v>2731.23</v>
          </cell>
          <cell r="E999">
            <v>2745.73</v>
          </cell>
          <cell r="F999">
            <v>2745.73</v>
          </cell>
        </row>
        <row r="1000">
          <cell r="A1000">
            <v>43511</v>
          </cell>
          <cell r="B1000">
            <v>2760.24</v>
          </cell>
          <cell r="C1000">
            <v>2775.66</v>
          </cell>
          <cell r="D1000">
            <v>2760.24</v>
          </cell>
          <cell r="E1000">
            <v>2775.6</v>
          </cell>
          <cell r="F1000">
            <v>2775.6</v>
          </cell>
        </row>
        <row r="1001">
          <cell r="A1001">
            <v>43515</v>
          </cell>
          <cell r="B1001">
            <v>2769.28</v>
          </cell>
          <cell r="C1001">
            <v>2787.33</v>
          </cell>
          <cell r="D1001">
            <v>2767.29</v>
          </cell>
          <cell r="E1001">
            <v>2779.76</v>
          </cell>
          <cell r="F1001">
            <v>2779.76</v>
          </cell>
        </row>
        <row r="1002">
          <cell r="A1002">
            <v>43516</v>
          </cell>
          <cell r="B1002">
            <v>2779.05</v>
          </cell>
          <cell r="C1002">
            <v>2789.88</v>
          </cell>
          <cell r="D1002">
            <v>2774.06</v>
          </cell>
          <cell r="E1002">
            <v>2784.7</v>
          </cell>
          <cell r="F1002">
            <v>2784.7</v>
          </cell>
        </row>
        <row r="1003">
          <cell r="A1003">
            <v>43517</v>
          </cell>
          <cell r="B1003">
            <v>2780.24</v>
          </cell>
          <cell r="C1003">
            <v>2781.58</v>
          </cell>
          <cell r="D1003">
            <v>2764.55</v>
          </cell>
          <cell r="E1003">
            <v>2774.88</v>
          </cell>
          <cell r="F1003">
            <v>2774.88</v>
          </cell>
        </row>
        <row r="1004">
          <cell r="A1004">
            <v>43518</v>
          </cell>
          <cell r="B1004">
            <v>2780.67</v>
          </cell>
          <cell r="C1004">
            <v>2794.2</v>
          </cell>
          <cell r="D1004">
            <v>2779.11</v>
          </cell>
          <cell r="E1004">
            <v>2792.67</v>
          </cell>
          <cell r="F1004">
            <v>2792.67</v>
          </cell>
        </row>
        <row r="1005">
          <cell r="A1005">
            <v>43521</v>
          </cell>
          <cell r="B1005">
            <v>2804.35</v>
          </cell>
          <cell r="C1005">
            <v>2813.49</v>
          </cell>
          <cell r="D1005">
            <v>2794.99</v>
          </cell>
          <cell r="E1005">
            <v>2796.11</v>
          </cell>
          <cell r="F1005">
            <v>2796.11</v>
          </cell>
        </row>
        <row r="1006">
          <cell r="A1006">
            <v>43522</v>
          </cell>
          <cell r="B1006">
            <v>2792.36</v>
          </cell>
          <cell r="C1006">
            <v>2803.12</v>
          </cell>
          <cell r="D1006">
            <v>2789.47</v>
          </cell>
          <cell r="E1006">
            <v>2793.9</v>
          </cell>
          <cell r="F1006">
            <v>2793.9</v>
          </cell>
        </row>
        <row r="1007">
          <cell r="A1007">
            <v>43523</v>
          </cell>
          <cell r="B1007">
            <v>2787.5</v>
          </cell>
          <cell r="C1007">
            <v>2795.76</v>
          </cell>
          <cell r="D1007">
            <v>2775.13</v>
          </cell>
          <cell r="E1007">
            <v>2792.38</v>
          </cell>
          <cell r="F1007">
            <v>2792.38</v>
          </cell>
        </row>
        <row r="1008">
          <cell r="A1008">
            <v>43524</v>
          </cell>
          <cell r="B1008">
            <v>2788.11</v>
          </cell>
          <cell r="C1008">
            <v>2793.73</v>
          </cell>
          <cell r="D1008">
            <v>2782.51</v>
          </cell>
          <cell r="E1008">
            <v>2784.49</v>
          </cell>
          <cell r="F1008">
            <v>2784.49</v>
          </cell>
        </row>
        <row r="1009">
          <cell r="A1009">
            <v>43525</v>
          </cell>
          <cell r="B1009">
            <v>2798.22</v>
          </cell>
          <cell r="C1009">
            <v>2808.02</v>
          </cell>
          <cell r="D1009">
            <v>2787.38</v>
          </cell>
          <cell r="E1009">
            <v>2803.69</v>
          </cell>
          <cell r="F1009">
            <v>2803.69</v>
          </cell>
        </row>
        <row r="1010">
          <cell r="A1010">
            <v>43528</v>
          </cell>
          <cell r="B1010">
            <v>2814.37</v>
          </cell>
          <cell r="C1010">
            <v>2816.88</v>
          </cell>
          <cell r="D1010">
            <v>2767.66</v>
          </cell>
          <cell r="E1010">
            <v>2792.81</v>
          </cell>
          <cell r="F1010">
            <v>2792.81</v>
          </cell>
        </row>
        <row r="1011">
          <cell r="A1011">
            <v>43529</v>
          </cell>
          <cell r="B1011">
            <v>2794.41</v>
          </cell>
          <cell r="C1011">
            <v>2796.44</v>
          </cell>
          <cell r="D1011">
            <v>2782.97</v>
          </cell>
          <cell r="E1011">
            <v>2789.65</v>
          </cell>
          <cell r="F1011">
            <v>2789.65</v>
          </cell>
        </row>
        <row r="1012">
          <cell r="A1012">
            <v>43530</v>
          </cell>
          <cell r="B1012">
            <v>2790.27</v>
          </cell>
          <cell r="C1012">
            <v>2790.27</v>
          </cell>
          <cell r="D1012">
            <v>2768.69</v>
          </cell>
          <cell r="E1012">
            <v>2771.45</v>
          </cell>
          <cell r="F1012">
            <v>2771.45</v>
          </cell>
        </row>
        <row r="1013">
          <cell r="A1013">
            <v>43531</v>
          </cell>
          <cell r="B1013">
            <v>2766.53</v>
          </cell>
          <cell r="C1013">
            <v>2767.25</v>
          </cell>
          <cell r="D1013">
            <v>2739.09</v>
          </cell>
          <cell r="E1013">
            <v>2748.93</v>
          </cell>
          <cell r="F1013">
            <v>2748.93</v>
          </cell>
        </row>
        <row r="1014">
          <cell r="A1014">
            <v>43532</v>
          </cell>
          <cell r="B1014">
            <v>2730.79</v>
          </cell>
          <cell r="C1014">
            <v>2744.13</v>
          </cell>
          <cell r="D1014">
            <v>2722.27</v>
          </cell>
          <cell r="E1014">
            <v>2743.07</v>
          </cell>
          <cell r="F1014">
            <v>2743.07</v>
          </cell>
        </row>
        <row r="1015">
          <cell r="A1015">
            <v>43535</v>
          </cell>
          <cell r="B1015">
            <v>2747.61</v>
          </cell>
          <cell r="C1015">
            <v>2784</v>
          </cell>
          <cell r="D1015">
            <v>2747.61</v>
          </cell>
          <cell r="E1015">
            <v>2783.3</v>
          </cell>
          <cell r="F1015">
            <v>2783.3</v>
          </cell>
        </row>
        <row r="1016">
          <cell r="A1016">
            <v>43536</v>
          </cell>
          <cell r="B1016">
            <v>2787.34</v>
          </cell>
          <cell r="C1016">
            <v>2798.32</v>
          </cell>
          <cell r="D1016">
            <v>2786.73</v>
          </cell>
          <cell r="E1016">
            <v>2791.52</v>
          </cell>
          <cell r="F1016">
            <v>2791.52</v>
          </cell>
        </row>
        <row r="1017">
          <cell r="A1017">
            <v>43537</v>
          </cell>
          <cell r="B1017">
            <v>2799.78</v>
          </cell>
          <cell r="C1017">
            <v>2821.24</v>
          </cell>
          <cell r="D1017">
            <v>2799.78</v>
          </cell>
          <cell r="E1017">
            <v>2810.92</v>
          </cell>
          <cell r="F1017">
            <v>2810.92</v>
          </cell>
        </row>
        <row r="1018">
          <cell r="A1018">
            <v>43538</v>
          </cell>
          <cell r="B1018">
            <v>2810.38</v>
          </cell>
          <cell r="C1018">
            <v>2815</v>
          </cell>
          <cell r="D1018">
            <v>2803.46</v>
          </cell>
          <cell r="E1018">
            <v>2808.48</v>
          </cell>
          <cell r="F1018">
            <v>2808.48</v>
          </cell>
        </row>
        <row r="1019">
          <cell r="A1019">
            <v>43539</v>
          </cell>
          <cell r="B1019">
            <v>2810.79</v>
          </cell>
          <cell r="C1019">
            <v>2830.73</v>
          </cell>
          <cell r="D1019">
            <v>2810.79</v>
          </cell>
          <cell r="E1019">
            <v>2822.48</v>
          </cell>
          <cell r="F1019">
            <v>2822.48</v>
          </cell>
        </row>
        <row r="1020">
          <cell r="A1020">
            <v>43542</v>
          </cell>
          <cell r="B1020">
            <v>2822.61</v>
          </cell>
          <cell r="C1020">
            <v>2835.41</v>
          </cell>
          <cell r="D1020">
            <v>2821.99</v>
          </cell>
          <cell r="E1020">
            <v>2832.94</v>
          </cell>
          <cell r="F1020">
            <v>2832.94</v>
          </cell>
        </row>
        <row r="1021">
          <cell r="A1021">
            <v>43543</v>
          </cell>
          <cell r="B1021">
            <v>2840.76</v>
          </cell>
          <cell r="C1021">
            <v>2852.42</v>
          </cell>
          <cell r="D1021">
            <v>2823.27</v>
          </cell>
          <cell r="E1021">
            <v>2832.57</v>
          </cell>
          <cell r="F1021">
            <v>2832.57</v>
          </cell>
        </row>
        <row r="1022">
          <cell r="A1022">
            <v>43544</v>
          </cell>
          <cell r="B1022">
            <v>2831.34</v>
          </cell>
          <cell r="C1022">
            <v>2843.54</v>
          </cell>
          <cell r="D1022">
            <v>2812.43</v>
          </cell>
          <cell r="E1022">
            <v>2824.23</v>
          </cell>
          <cell r="F1022">
            <v>2824.23</v>
          </cell>
        </row>
        <row r="1023">
          <cell r="A1023">
            <v>43545</v>
          </cell>
          <cell r="B1023">
            <v>2819.72</v>
          </cell>
          <cell r="C1023">
            <v>2860.31</v>
          </cell>
          <cell r="D1023">
            <v>2817.38</v>
          </cell>
          <cell r="E1023">
            <v>2854.88</v>
          </cell>
          <cell r="F1023">
            <v>2854.88</v>
          </cell>
        </row>
        <row r="1024">
          <cell r="A1024">
            <v>43546</v>
          </cell>
          <cell r="B1024">
            <v>2844.52</v>
          </cell>
          <cell r="C1024">
            <v>2846.16</v>
          </cell>
          <cell r="D1024">
            <v>2800.47</v>
          </cell>
          <cell r="E1024">
            <v>2800.71</v>
          </cell>
          <cell r="F1024">
            <v>2800.71</v>
          </cell>
        </row>
        <row r="1025">
          <cell r="A1025">
            <v>43549</v>
          </cell>
          <cell r="B1025">
            <v>2796.01</v>
          </cell>
          <cell r="C1025">
            <v>2809.79</v>
          </cell>
          <cell r="D1025">
            <v>2785.02</v>
          </cell>
          <cell r="E1025">
            <v>2798.36</v>
          </cell>
          <cell r="F1025">
            <v>2798.36</v>
          </cell>
        </row>
        <row r="1026">
          <cell r="A1026">
            <v>43550</v>
          </cell>
          <cell r="B1026">
            <v>2812.66</v>
          </cell>
          <cell r="C1026">
            <v>2829.87</v>
          </cell>
          <cell r="D1026">
            <v>2803.99</v>
          </cell>
          <cell r="E1026">
            <v>2818.46</v>
          </cell>
          <cell r="F1026">
            <v>2818.46</v>
          </cell>
        </row>
        <row r="1027">
          <cell r="A1027">
            <v>43551</v>
          </cell>
          <cell r="B1027">
            <v>2819.72</v>
          </cell>
          <cell r="C1027">
            <v>2825.56</v>
          </cell>
          <cell r="D1027">
            <v>2787.72</v>
          </cell>
          <cell r="E1027">
            <v>2805.37</v>
          </cell>
          <cell r="F1027">
            <v>2805.37</v>
          </cell>
        </row>
        <row r="1028">
          <cell r="A1028">
            <v>43552</v>
          </cell>
          <cell r="B1028">
            <v>2809.4</v>
          </cell>
          <cell r="C1028">
            <v>2819.71</v>
          </cell>
          <cell r="D1028">
            <v>2798.77</v>
          </cell>
          <cell r="E1028">
            <v>2815.44</v>
          </cell>
          <cell r="F1028">
            <v>2815.44</v>
          </cell>
        </row>
        <row r="1029">
          <cell r="A1029">
            <v>43553</v>
          </cell>
          <cell r="B1029">
            <v>2828.27</v>
          </cell>
          <cell r="C1029">
            <v>2836.03</v>
          </cell>
          <cell r="D1029">
            <v>2819.23</v>
          </cell>
          <cell r="E1029">
            <v>2834.4</v>
          </cell>
          <cell r="F1029">
            <v>2834.4</v>
          </cell>
        </row>
        <row r="1030">
          <cell r="A1030">
            <v>43556</v>
          </cell>
          <cell r="B1030">
            <v>2848.63</v>
          </cell>
          <cell r="C1030">
            <v>2869.4</v>
          </cell>
          <cell r="D1030">
            <v>2848.63</v>
          </cell>
          <cell r="E1030">
            <v>2867.19</v>
          </cell>
          <cell r="F1030">
            <v>2867.19</v>
          </cell>
        </row>
        <row r="1031">
          <cell r="A1031">
            <v>43557</v>
          </cell>
          <cell r="B1031">
            <v>2868.24</v>
          </cell>
          <cell r="C1031">
            <v>2872.9</v>
          </cell>
          <cell r="D1031">
            <v>2858.75</v>
          </cell>
          <cell r="E1031">
            <v>2867.24</v>
          </cell>
          <cell r="F1031">
            <v>2867.24</v>
          </cell>
        </row>
        <row r="1032">
          <cell r="A1032">
            <v>43558</v>
          </cell>
          <cell r="B1032">
            <v>2876.09</v>
          </cell>
          <cell r="C1032">
            <v>2885.25</v>
          </cell>
          <cell r="D1032">
            <v>2865.17</v>
          </cell>
          <cell r="E1032">
            <v>2873.4</v>
          </cell>
          <cell r="F1032">
            <v>2873.4</v>
          </cell>
        </row>
        <row r="1033">
          <cell r="A1033">
            <v>43559</v>
          </cell>
          <cell r="B1033">
            <v>2873.99</v>
          </cell>
          <cell r="C1033">
            <v>2881.28</v>
          </cell>
          <cell r="D1033">
            <v>2867.14</v>
          </cell>
          <cell r="E1033">
            <v>2879.39</v>
          </cell>
          <cell r="F1033">
            <v>2879.39</v>
          </cell>
        </row>
        <row r="1034">
          <cell r="A1034">
            <v>43560</v>
          </cell>
          <cell r="B1034">
            <v>2884.16</v>
          </cell>
          <cell r="C1034">
            <v>2893.24</v>
          </cell>
          <cell r="D1034">
            <v>2882.99</v>
          </cell>
          <cell r="E1034">
            <v>2892.74</v>
          </cell>
          <cell r="F1034">
            <v>2892.74</v>
          </cell>
        </row>
        <row r="1035">
          <cell r="A1035">
            <v>43563</v>
          </cell>
          <cell r="B1035">
            <v>2888.46</v>
          </cell>
          <cell r="C1035">
            <v>2895.95</v>
          </cell>
          <cell r="D1035">
            <v>2880.78</v>
          </cell>
          <cell r="E1035">
            <v>2895.77</v>
          </cell>
          <cell r="F1035">
            <v>2895.77</v>
          </cell>
        </row>
        <row r="1036">
          <cell r="A1036">
            <v>43564</v>
          </cell>
          <cell r="B1036">
            <v>2886.58</v>
          </cell>
          <cell r="C1036">
            <v>2886.88</v>
          </cell>
          <cell r="D1036">
            <v>2873.33</v>
          </cell>
          <cell r="E1036">
            <v>2878.2</v>
          </cell>
          <cell r="F1036">
            <v>2878.2</v>
          </cell>
        </row>
        <row r="1037">
          <cell r="A1037">
            <v>43565</v>
          </cell>
          <cell r="B1037">
            <v>2881.37</v>
          </cell>
          <cell r="C1037">
            <v>2889.71</v>
          </cell>
          <cell r="D1037">
            <v>2879.13</v>
          </cell>
          <cell r="E1037">
            <v>2888.21</v>
          </cell>
          <cell r="F1037">
            <v>2888.21</v>
          </cell>
        </row>
        <row r="1038">
          <cell r="A1038">
            <v>43566</v>
          </cell>
          <cell r="B1038">
            <v>2891.92</v>
          </cell>
          <cell r="C1038">
            <v>2893.42</v>
          </cell>
          <cell r="D1038">
            <v>2881.99</v>
          </cell>
          <cell r="E1038">
            <v>2888.32</v>
          </cell>
          <cell r="F1038">
            <v>2888.32</v>
          </cell>
        </row>
        <row r="1039">
          <cell r="A1039">
            <v>43567</v>
          </cell>
          <cell r="B1039">
            <v>2900.86</v>
          </cell>
          <cell r="C1039">
            <v>2910.54</v>
          </cell>
          <cell r="D1039">
            <v>2898.37</v>
          </cell>
          <cell r="E1039">
            <v>2907.41</v>
          </cell>
          <cell r="F1039">
            <v>2907.41</v>
          </cell>
        </row>
        <row r="1040">
          <cell r="A1040">
            <v>43570</v>
          </cell>
          <cell r="B1040">
            <v>2908.32</v>
          </cell>
          <cell r="C1040">
            <v>2909.6</v>
          </cell>
          <cell r="D1040">
            <v>2896.48</v>
          </cell>
          <cell r="E1040">
            <v>2905.58</v>
          </cell>
          <cell r="F1040">
            <v>2905.58</v>
          </cell>
        </row>
        <row r="1041">
          <cell r="A1041">
            <v>43571</v>
          </cell>
          <cell r="B1041">
            <v>2912.26</v>
          </cell>
          <cell r="C1041">
            <v>2916.06</v>
          </cell>
          <cell r="D1041">
            <v>2900.71</v>
          </cell>
          <cell r="E1041">
            <v>2907.06</v>
          </cell>
          <cell r="F1041">
            <v>2907.06</v>
          </cell>
        </row>
        <row r="1042">
          <cell r="A1042">
            <v>43572</v>
          </cell>
          <cell r="B1042">
            <v>2916.04</v>
          </cell>
          <cell r="C1042">
            <v>2918</v>
          </cell>
          <cell r="D1042">
            <v>2895.45</v>
          </cell>
          <cell r="E1042">
            <v>2900.45</v>
          </cell>
          <cell r="F1042">
            <v>2900.45</v>
          </cell>
        </row>
        <row r="1043">
          <cell r="A1043">
            <v>43573</v>
          </cell>
          <cell r="B1043">
            <v>2904.81</v>
          </cell>
          <cell r="C1043">
            <v>2908.4</v>
          </cell>
          <cell r="D1043">
            <v>2891.9</v>
          </cell>
          <cell r="E1043">
            <v>2905.03</v>
          </cell>
          <cell r="F1043">
            <v>2905.03</v>
          </cell>
        </row>
        <row r="1044">
          <cell r="A1044">
            <v>43577</v>
          </cell>
          <cell r="B1044">
            <v>2898.78</v>
          </cell>
          <cell r="C1044">
            <v>2909.51</v>
          </cell>
          <cell r="D1044">
            <v>2896.35</v>
          </cell>
          <cell r="E1044">
            <v>2907.97</v>
          </cell>
          <cell r="F1044">
            <v>2907.97</v>
          </cell>
        </row>
        <row r="1045">
          <cell r="A1045">
            <v>43578</v>
          </cell>
          <cell r="B1045">
            <v>2909.99</v>
          </cell>
          <cell r="C1045">
            <v>2936.31</v>
          </cell>
          <cell r="D1045">
            <v>2908.53</v>
          </cell>
          <cell r="E1045">
            <v>2933.68</v>
          </cell>
          <cell r="F1045">
            <v>2933.68</v>
          </cell>
        </row>
        <row r="1046">
          <cell r="A1046">
            <v>43579</v>
          </cell>
          <cell r="B1046">
            <v>2934</v>
          </cell>
          <cell r="C1046">
            <v>2936.83</v>
          </cell>
          <cell r="D1046">
            <v>2926.05</v>
          </cell>
          <cell r="E1046">
            <v>2927.25</v>
          </cell>
          <cell r="F1046">
            <v>2927.25</v>
          </cell>
        </row>
        <row r="1047">
          <cell r="A1047">
            <v>43580</v>
          </cell>
          <cell r="B1047">
            <v>2928.99</v>
          </cell>
          <cell r="C1047">
            <v>2933.1</v>
          </cell>
          <cell r="D1047">
            <v>2912.84</v>
          </cell>
          <cell r="E1047">
            <v>2926.17</v>
          </cell>
          <cell r="F1047">
            <v>2926.17</v>
          </cell>
        </row>
        <row r="1048">
          <cell r="A1048">
            <v>43581</v>
          </cell>
          <cell r="B1048">
            <v>2925.81</v>
          </cell>
          <cell r="C1048">
            <v>2939.88</v>
          </cell>
          <cell r="D1048">
            <v>2917.56</v>
          </cell>
          <cell r="E1048">
            <v>2939.88</v>
          </cell>
          <cell r="F1048">
            <v>2939.88</v>
          </cell>
        </row>
        <row r="1049">
          <cell r="A1049">
            <v>43584</v>
          </cell>
          <cell r="B1049">
            <v>2940.58</v>
          </cell>
          <cell r="C1049">
            <v>2949.52</v>
          </cell>
          <cell r="D1049">
            <v>2939.35</v>
          </cell>
          <cell r="E1049">
            <v>2943.03</v>
          </cell>
          <cell r="F1049">
            <v>2943.03</v>
          </cell>
        </row>
        <row r="1050">
          <cell r="A1050">
            <v>43585</v>
          </cell>
          <cell r="B1050">
            <v>2937.14</v>
          </cell>
          <cell r="C1050">
            <v>2948.22</v>
          </cell>
          <cell r="D1050">
            <v>2924.11</v>
          </cell>
          <cell r="E1050">
            <v>2945.83</v>
          </cell>
          <cell r="F1050">
            <v>2945.83</v>
          </cell>
        </row>
        <row r="1051">
          <cell r="A1051">
            <v>43586</v>
          </cell>
          <cell r="B1051">
            <v>2952.33</v>
          </cell>
          <cell r="C1051">
            <v>2954.13</v>
          </cell>
          <cell r="D1051">
            <v>2923.36</v>
          </cell>
          <cell r="E1051">
            <v>2923.73</v>
          </cell>
          <cell r="F1051">
            <v>2923.73</v>
          </cell>
        </row>
        <row r="1052">
          <cell r="A1052">
            <v>43587</v>
          </cell>
          <cell r="B1052">
            <v>2922.16</v>
          </cell>
          <cell r="C1052">
            <v>2931.68</v>
          </cell>
          <cell r="D1052">
            <v>2900.5</v>
          </cell>
          <cell r="E1052">
            <v>2917.52</v>
          </cell>
          <cell r="F1052">
            <v>2917.52</v>
          </cell>
        </row>
        <row r="1053">
          <cell r="A1053">
            <v>43588</v>
          </cell>
          <cell r="B1053">
            <v>2929.21</v>
          </cell>
          <cell r="C1053">
            <v>2947.85</v>
          </cell>
          <cell r="D1053">
            <v>2929.21</v>
          </cell>
          <cell r="E1053">
            <v>2945.64</v>
          </cell>
          <cell r="F1053">
            <v>2945.64</v>
          </cell>
        </row>
        <row r="1054">
          <cell r="A1054">
            <v>43591</v>
          </cell>
          <cell r="B1054">
            <v>2908.89</v>
          </cell>
          <cell r="C1054">
            <v>2937.32</v>
          </cell>
          <cell r="D1054">
            <v>2898.21</v>
          </cell>
          <cell r="E1054">
            <v>2932.47</v>
          </cell>
          <cell r="F1054">
            <v>2932.47</v>
          </cell>
        </row>
        <row r="1055">
          <cell r="A1055">
            <v>43592</v>
          </cell>
          <cell r="B1055">
            <v>2913.03</v>
          </cell>
          <cell r="C1055">
            <v>2913.03</v>
          </cell>
          <cell r="D1055">
            <v>2862.6</v>
          </cell>
          <cell r="E1055">
            <v>2884.05</v>
          </cell>
          <cell r="F1055">
            <v>2884.05</v>
          </cell>
        </row>
        <row r="1056">
          <cell r="A1056">
            <v>43593</v>
          </cell>
          <cell r="B1056">
            <v>2879.61</v>
          </cell>
          <cell r="C1056">
            <v>2897.96</v>
          </cell>
          <cell r="D1056">
            <v>2873.28</v>
          </cell>
          <cell r="E1056">
            <v>2879.42</v>
          </cell>
          <cell r="F1056">
            <v>2879.42</v>
          </cell>
        </row>
        <row r="1057">
          <cell r="A1057">
            <v>43594</v>
          </cell>
          <cell r="B1057">
            <v>2859.84</v>
          </cell>
          <cell r="C1057">
            <v>2875.97</v>
          </cell>
          <cell r="D1057">
            <v>2836.4</v>
          </cell>
          <cell r="E1057">
            <v>2870.72</v>
          </cell>
          <cell r="F1057">
            <v>2870.72</v>
          </cell>
        </row>
        <row r="1058">
          <cell r="A1058">
            <v>43595</v>
          </cell>
          <cell r="B1058">
            <v>2863.1</v>
          </cell>
          <cell r="C1058">
            <v>2891.31</v>
          </cell>
          <cell r="D1058">
            <v>2825.39</v>
          </cell>
          <cell r="E1058">
            <v>2881.4</v>
          </cell>
          <cell r="F1058">
            <v>2881.4</v>
          </cell>
        </row>
        <row r="1059">
          <cell r="A1059">
            <v>43598</v>
          </cell>
          <cell r="B1059">
            <v>2840.19</v>
          </cell>
          <cell r="C1059">
            <v>2840.19</v>
          </cell>
          <cell r="D1059">
            <v>2801.43</v>
          </cell>
          <cell r="E1059">
            <v>2811.87</v>
          </cell>
          <cell r="F1059">
            <v>2811.87</v>
          </cell>
        </row>
        <row r="1060">
          <cell r="A1060">
            <v>43599</v>
          </cell>
          <cell r="B1060">
            <v>2820.12</v>
          </cell>
          <cell r="C1060">
            <v>2852.54</v>
          </cell>
          <cell r="D1060">
            <v>2820.12</v>
          </cell>
          <cell r="E1060">
            <v>2834.41</v>
          </cell>
          <cell r="F1060">
            <v>2834.41</v>
          </cell>
        </row>
        <row r="1061">
          <cell r="A1061">
            <v>43600</v>
          </cell>
          <cell r="B1061">
            <v>2820.38</v>
          </cell>
          <cell r="C1061">
            <v>2858.68</v>
          </cell>
          <cell r="D1061">
            <v>2815.08</v>
          </cell>
          <cell r="E1061">
            <v>2850.96</v>
          </cell>
          <cell r="F1061">
            <v>2850.96</v>
          </cell>
        </row>
        <row r="1062">
          <cell r="A1062">
            <v>43601</v>
          </cell>
          <cell r="B1062">
            <v>2855.8</v>
          </cell>
          <cell r="C1062">
            <v>2892.15</v>
          </cell>
          <cell r="D1062">
            <v>2855.8</v>
          </cell>
          <cell r="E1062">
            <v>2876.32</v>
          </cell>
          <cell r="F1062">
            <v>2876.32</v>
          </cell>
        </row>
        <row r="1063">
          <cell r="A1063">
            <v>43602</v>
          </cell>
          <cell r="B1063">
            <v>2858.6</v>
          </cell>
          <cell r="C1063">
            <v>2885.48</v>
          </cell>
          <cell r="D1063">
            <v>2854.23</v>
          </cell>
          <cell r="E1063">
            <v>2859.53</v>
          </cell>
          <cell r="F1063">
            <v>2859.53</v>
          </cell>
        </row>
        <row r="1064">
          <cell r="A1064">
            <v>43605</v>
          </cell>
          <cell r="B1064">
            <v>2841.94</v>
          </cell>
          <cell r="C1064">
            <v>2853.86</v>
          </cell>
          <cell r="D1064">
            <v>2831.29</v>
          </cell>
          <cell r="E1064">
            <v>2840.23</v>
          </cell>
          <cell r="F1064">
            <v>2840.23</v>
          </cell>
        </row>
        <row r="1065">
          <cell r="A1065">
            <v>43606</v>
          </cell>
          <cell r="B1065">
            <v>2854.02</v>
          </cell>
          <cell r="C1065">
            <v>2868.88</v>
          </cell>
          <cell r="D1065">
            <v>2854.02</v>
          </cell>
          <cell r="E1065">
            <v>2864.36</v>
          </cell>
          <cell r="F1065">
            <v>2864.36</v>
          </cell>
        </row>
        <row r="1066">
          <cell r="A1066">
            <v>43607</v>
          </cell>
          <cell r="B1066">
            <v>2856.06</v>
          </cell>
          <cell r="C1066">
            <v>2865.47</v>
          </cell>
          <cell r="D1066">
            <v>2851.11</v>
          </cell>
          <cell r="E1066">
            <v>2856.27</v>
          </cell>
          <cell r="F1066">
            <v>2856.27</v>
          </cell>
        </row>
        <row r="1067">
          <cell r="A1067">
            <v>43608</v>
          </cell>
          <cell r="B1067">
            <v>2836.7</v>
          </cell>
          <cell r="C1067">
            <v>2836.7</v>
          </cell>
          <cell r="D1067">
            <v>2805.49</v>
          </cell>
          <cell r="E1067">
            <v>2822.24</v>
          </cell>
          <cell r="F1067">
            <v>2822.24</v>
          </cell>
        </row>
        <row r="1068">
          <cell r="A1068">
            <v>43609</v>
          </cell>
          <cell r="B1068">
            <v>2832.41</v>
          </cell>
          <cell r="C1068">
            <v>2841.36</v>
          </cell>
          <cell r="D1068">
            <v>2820.19</v>
          </cell>
          <cell r="E1068">
            <v>2826.06</v>
          </cell>
          <cell r="F1068">
            <v>2826.06</v>
          </cell>
        </row>
        <row r="1069">
          <cell r="A1069">
            <v>43613</v>
          </cell>
          <cell r="B1069">
            <v>2830.03</v>
          </cell>
          <cell r="C1069">
            <v>2840.51</v>
          </cell>
          <cell r="D1069">
            <v>2801.58</v>
          </cell>
          <cell r="E1069">
            <v>2802.39</v>
          </cell>
          <cell r="F1069">
            <v>2802.39</v>
          </cell>
        </row>
        <row r="1070">
          <cell r="A1070">
            <v>43614</v>
          </cell>
          <cell r="B1070">
            <v>2790.25</v>
          </cell>
          <cell r="C1070">
            <v>2792.03</v>
          </cell>
          <cell r="D1070">
            <v>2766.06</v>
          </cell>
          <cell r="E1070">
            <v>2783.02</v>
          </cell>
          <cell r="F1070">
            <v>2783.02</v>
          </cell>
        </row>
        <row r="1071">
          <cell r="A1071">
            <v>43615</v>
          </cell>
          <cell r="B1071">
            <v>2786.94</v>
          </cell>
          <cell r="C1071">
            <v>2799</v>
          </cell>
          <cell r="D1071">
            <v>2776.74</v>
          </cell>
          <cell r="E1071">
            <v>2788.86</v>
          </cell>
          <cell r="F1071">
            <v>2788.86</v>
          </cell>
        </row>
        <row r="1072">
          <cell r="A1072">
            <v>43616</v>
          </cell>
          <cell r="B1072">
            <v>2766.15</v>
          </cell>
          <cell r="C1072">
            <v>2768.98</v>
          </cell>
          <cell r="D1072">
            <v>2750.52</v>
          </cell>
          <cell r="E1072">
            <v>2752.06</v>
          </cell>
          <cell r="F1072">
            <v>2752.06</v>
          </cell>
        </row>
        <row r="1073">
          <cell r="A1073">
            <v>43619</v>
          </cell>
          <cell r="B1073">
            <v>2751.53</v>
          </cell>
          <cell r="C1073">
            <v>2763.07</v>
          </cell>
          <cell r="D1073">
            <v>2728.81</v>
          </cell>
          <cell r="E1073">
            <v>2744.45</v>
          </cell>
          <cell r="F1073">
            <v>2744.45</v>
          </cell>
        </row>
        <row r="1074">
          <cell r="A1074">
            <v>43620</v>
          </cell>
          <cell r="B1074">
            <v>2762.64</v>
          </cell>
          <cell r="C1074">
            <v>2804.49</v>
          </cell>
          <cell r="D1074">
            <v>2762.64</v>
          </cell>
          <cell r="E1074">
            <v>2803.27</v>
          </cell>
          <cell r="F1074">
            <v>2803.27</v>
          </cell>
        </row>
        <row r="1075">
          <cell r="A1075">
            <v>43621</v>
          </cell>
          <cell r="B1075">
            <v>2818.09</v>
          </cell>
          <cell r="C1075">
            <v>2827.28</v>
          </cell>
          <cell r="D1075">
            <v>2800.92</v>
          </cell>
          <cell r="E1075">
            <v>2826.15</v>
          </cell>
          <cell r="F1075">
            <v>2826.15</v>
          </cell>
        </row>
        <row r="1076">
          <cell r="A1076">
            <v>43622</v>
          </cell>
          <cell r="B1076">
            <v>2828.51</v>
          </cell>
          <cell r="C1076">
            <v>2852.1</v>
          </cell>
          <cell r="D1076">
            <v>2822.45</v>
          </cell>
          <cell r="E1076">
            <v>2843.49</v>
          </cell>
          <cell r="F1076">
            <v>2843.49</v>
          </cell>
        </row>
        <row r="1077">
          <cell r="A1077">
            <v>43623</v>
          </cell>
          <cell r="B1077">
            <v>2852.87</v>
          </cell>
          <cell r="C1077">
            <v>2884.97</v>
          </cell>
          <cell r="D1077">
            <v>2852.87</v>
          </cell>
          <cell r="E1077">
            <v>2873.34</v>
          </cell>
          <cell r="F1077">
            <v>2873.34</v>
          </cell>
        </row>
        <row r="1078">
          <cell r="A1078">
            <v>43626</v>
          </cell>
          <cell r="B1078">
            <v>2885.83</v>
          </cell>
          <cell r="C1078">
            <v>2904.77</v>
          </cell>
          <cell r="D1078">
            <v>2885.51</v>
          </cell>
          <cell r="E1078">
            <v>2886.73</v>
          </cell>
          <cell r="F1078">
            <v>2886.73</v>
          </cell>
        </row>
        <row r="1079">
          <cell r="A1079">
            <v>43627</v>
          </cell>
          <cell r="B1079">
            <v>2903.27</v>
          </cell>
          <cell r="C1079">
            <v>2910.61</v>
          </cell>
          <cell r="D1079">
            <v>2878.53</v>
          </cell>
          <cell r="E1079">
            <v>2885.72</v>
          </cell>
          <cell r="F1079">
            <v>2885.72</v>
          </cell>
        </row>
        <row r="1080">
          <cell r="A1080">
            <v>43628</v>
          </cell>
          <cell r="B1080">
            <v>2882.73</v>
          </cell>
          <cell r="C1080">
            <v>2888.57</v>
          </cell>
          <cell r="D1080">
            <v>2874.68</v>
          </cell>
          <cell r="E1080">
            <v>2879.84</v>
          </cell>
          <cell r="F1080">
            <v>2879.84</v>
          </cell>
        </row>
        <row r="1081">
          <cell r="A1081">
            <v>43629</v>
          </cell>
          <cell r="B1081">
            <v>2886.24</v>
          </cell>
          <cell r="C1081">
            <v>2895.24</v>
          </cell>
          <cell r="D1081">
            <v>2881.99</v>
          </cell>
          <cell r="E1081">
            <v>2891.64</v>
          </cell>
          <cell r="F1081">
            <v>2891.64</v>
          </cell>
        </row>
        <row r="1082">
          <cell r="A1082">
            <v>43630</v>
          </cell>
          <cell r="B1082">
            <v>2886.82</v>
          </cell>
          <cell r="C1082">
            <v>2894.45</v>
          </cell>
          <cell r="D1082">
            <v>2879.62</v>
          </cell>
          <cell r="E1082">
            <v>2886.98</v>
          </cell>
          <cell r="F1082">
            <v>2886.98</v>
          </cell>
        </row>
        <row r="1083">
          <cell r="A1083">
            <v>43633</v>
          </cell>
          <cell r="B1083">
            <v>2889.75</v>
          </cell>
          <cell r="C1083">
            <v>2897.27</v>
          </cell>
          <cell r="D1083">
            <v>2887.3</v>
          </cell>
          <cell r="E1083">
            <v>2889.67</v>
          </cell>
          <cell r="F1083">
            <v>2889.67</v>
          </cell>
        </row>
        <row r="1084">
          <cell r="A1084">
            <v>43634</v>
          </cell>
          <cell r="B1084">
            <v>2906.71</v>
          </cell>
          <cell r="C1084">
            <v>2930.79</v>
          </cell>
          <cell r="D1084">
            <v>2905.44</v>
          </cell>
          <cell r="E1084">
            <v>2917.75</v>
          </cell>
          <cell r="F1084">
            <v>2917.75</v>
          </cell>
        </row>
        <row r="1085">
          <cell r="A1085">
            <v>43635</v>
          </cell>
          <cell r="B1085">
            <v>2920.55</v>
          </cell>
          <cell r="C1085">
            <v>2931.74</v>
          </cell>
          <cell r="D1085">
            <v>2911.43</v>
          </cell>
          <cell r="E1085">
            <v>2926.46</v>
          </cell>
          <cell r="F1085">
            <v>2926.46</v>
          </cell>
        </row>
        <row r="1086">
          <cell r="A1086">
            <v>43636</v>
          </cell>
          <cell r="B1086">
            <v>2949.6</v>
          </cell>
          <cell r="C1086">
            <v>2958.06</v>
          </cell>
          <cell r="D1086">
            <v>2931.5</v>
          </cell>
          <cell r="E1086">
            <v>2954.18</v>
          </cell>
          <cell r="F1086">
            <v>2954.18</v>
          </cell>
        </row>
        <row r="1087">
          <cell r="A1087">
            <v>43637</v>
          </cell>
          <cell r="B1087">
            <v>2952.71</v>
          </cell>
          <cell r="C1087">
            <v>2964.15</v>
          </cell>
          <cell r="D1087">
            <v>2946.87</v>
          </cell>
          <cell r="E1087">
            <v>2950.46</v>
          </cell>
          <cell r="F1087">
            <v>2950.46</v>
          </cell>
        </row>
        <row r="1088">
          <cell r="A1088">
            <v>43640</v>
          </cell>
          <cell r="B1088">
            <v>2951.42</v>
          </cell>
          <cell r="C1088">
            <v>2954.92</v>
          </cell>
          <cell r="D1088">
            <v>2944.05</v>
          </cell>
          <cell r="E1088">
            <v>2945.35</v>
          </cell>
          <cell r="F1088">
            <v>2945.35</v>
          </cell>
        </row>
        <row r="1089">
          <cell r="A1089">
            <v>43641</v>
          </cell>
          <cell r="B1089">
            <v>2945.78</v>
          </cell>
          <cell r="C1089">
            <v>2946.52</v>
          </cell>
          <cell r="D1089">
            <v>2916.01</v>
          </cell>
          <cell r="E1089">
            <v>2917.38</v>
          </cell>
          <cell r="F1089">
            <v>2917.38</v>
          </cell>
        </row>
        <row r="1090">
          <cell r="A1090">
            <v>43642</v>
          </cell>
          <cell r="B1090">
            <v>2926.07</v>
          </cell>
          <cell r="C1090">
            <v>2932.59</v>
          </cell>
          <cell r="D1090">
            <v>2912.99</v>
          </cell>
          <cell r="E1090">
            <v>2913.78</v>
          </cell>
          <cell r="F1090">
            <v>2913.78</v>
          </cell>
        </row>
        <row r="1091">
          <cell r="A1091">
            <v>43643</v>
          </cell>
          <cell r="B1091">
            <v>2919.66</v>
          </cell>
          <cell r="C1091">
            <v>2929.3</v>
          </cell>
          <cell r="D1091">
            <v>2918.57</v>
          </cell>
          <cell r="E1091">
            <v>2924.92</v>
          </cell>
          <cell r="F1091">
            <v>2924.92</v>
          </cell>
        </row>
        <row r="1092">
          <cell r="A1092">
            <v>43644</v>
          </cell>
          <cell r="B1092">
            <v>2932.94</v>
          </cell>
          <cell r="C1092">
            <v>2943.98</v>
          </cell>
          <cell r="D1092">
            <v>2929.05</v>
          </cell>
          <cell r="E1092">
            <v>2941.76</v>
          </cell>
          <cell r="F1092">
            <v>2941.76</v>
          </cell>
        </row>
        <row r="1093">
          <cell r="A1093">
            <v>43647</v>
          </cell>
          <cell r="B1093">
            <v>2971.41</v>
          </cell>
          <cell r="C1093">
            <v>2977.93</v>
          </cell>
          <cell r="D1093">
            <v>2952.22</v>
          </cell>
          <cell r="E1093">
            <v>2964.33</v>
          </cell>
          <cell r="F1093">
            <v>2964.33</v>
          </cell>
        </row>
        <row r="1094">
          <cell r="A1094">
            <v>43648</v>
          </cell>
          <cell r="B1094">
            <v>2964.66</v>
          </cell>
          <cell r="C1094">
            <v>2973.21</v>
          </cell>
          <cell r="D1094">
            <v>2955.92</v>
          </cell>
          <cell r="E1094">
            <v>2973.01</v>
          </cell>
          <cell r="F1094">
            <v>2973.01</v>
          </cell>
        </row>
        <row r="1095">
          <cell r="A1095">
            <v>43649</v>
          </cell>
          <cell r="B1095">
            <v>2978.08</v>
          </cell>
          <cell r="C1095">
            <v>2995.84</v>
          </cell>
          <cell r="D1095">
            <v>2977.96</v>
          </cell>
          <cell r="E1095">
            <v>2995.82</v>
          </cell>
          <cell r="F1095">
            <v>2995.82</v>
          </cell>
        </row>
        <row r="1096">
          <cell r="A1096">
            <v>43651</v>
          </cell>
          <cell r="B1096">
            <v>2984.25</v>
          </cell>
          <cell r="C1096">
            <v>2994.03</v>
          </cell>
          <cell r="D1096">
            <v>2967.97</v>
          </cell>
          <cell r="E1096">
            <v>2990.41</v>
          </cell>
          <cell r="F1096">
            <v>2990.41</v>
          </cell>
        </row>
        <row r="1097">
          <cell r="A1097">
            <v>43654</v>
          </cell>
          <cell r="B1097">
            <v>2979.77</v>
          </cell>
          <cell r="C1097">
            <v>2980.76</v>
          </cell>
          <cell r="D1097">
            <v>2970.09</v>
          </cell>
          <cell r="E1097">
            <v>2975.95</v>
          </cell>
          <cell r="F1097">
            <v>2975.95</v>
          </cell>
        </row>
        <row r="1098">
          <cell r="A1098">
            <v>43655</v>
          </cell>
          <cell r="B1098">
            <v>2965.52</v>
          </cell>
          <cell r="C1098">
            <v>2981.9</v>
          </cell>
          <cell r="D1098">
            <v>2963.44</v>
          </cell>
          <cell r="E1098">
            <v>2979.63</v>
          </cell>
          <cell r="F1098">
            <v>2979.63</v>
          </cell>
        </row>
        <row r="1099">
          <cell r="A1099">
            <v>43656</v>
          </cell>
          <cell r="B1099">
            <v>2989.3</v>
          </cell>
          <cell r="C1099">
            <v>3002.98</v>
          </cell>
          <cell r="D1099">
            <v>2984.62</v>
          </cell>
          <cell r="E1099">
            <v>2993.07</v>
          </cell>
          <cell r="F1099">
            <v>2993.07</v>
          </cell>
        </row>
        <row r="1100">
          <cell r="A1100">
            <v>43657</v>
          </cell>
          <cell r="B1100">
            <v>2999.62</v>
          </cell>
          <cell r="C1100">
            <v>3002.33</v>
          </cell>
          <cell r="D1100">
            <v>2988.8</v>
          </cell>
          <cell r="E1100">
            <v>2999.91</v>
          </cell>
          <cell r="F1100">
            <v>2999.91</v>
          </cell>
        </row>
        <row r="1101">
          <cell r="A1101">
            <v>43658</v>
          </cell>
          <cell r="B1101">
            <v>3003.36</v>
          </cell>
          <cell r="C1101">
            <v>3013.92</v>
          </cell>
          <cell r="D1101">
            <v>3001.87</v>
          </cell>
          <cell r="E1101">
            <v>3013.77</v>
          </cell>
          <cell r="F1101">
            <v>3013.77</v>
          </cell>
        </row>
        <row r="1102">
          <cell r="A1102">
            <v>43661</v>
          </cell>
          <cell r="B1102">
            <v>3017.8</v>
          </cell>
          <cell r="C1102">
            <v>3017.8</v>
          </cell>
          <cell r="D1102">
            <v>3008.77</v>
          </cell>
          <cell r="E1102">
            <v>3014.3</v>
          </cell>
          <cell r="F1102">
            <v>3014.3</v>
          </cell>
        </row>
        <row r="1103">
          <cell r="A1103">
            <v>43662</v>
          </cell>
          <cell r="B1103">
            <v>3012.13</v>
          </cell>
          <cell r="C1103">
            <v>3015.02</v>
          </cell>
          <cell r="D1103">
            <v>3001.15</v>
          </cell>
          <cell r="E1103">
            <v>3004.04</v>
          </cell>
          <cell r="F1103">
            <v>3004.04</v>
          </cell>
        </row>
        <row r="1104">
          <cell r="A1104">
            <v>43663</v>
          </cell>
          <cell r="B1104">
            <v>3005.1</v>
          </cell>
          <cell r="C1104">
            <v>3005.26</v>
          </cell>
          <cell r="D1104">
            <v>2984.25</v>
          </cell>
          <cell r="E1104">
            <v>2984.42</v>
          </cell>
          <cell r="F1104">
            <v>2984.42</v>
          </cell>
        </row>
        <row r="1105">
          <cell r="A1105">
            <v>43664</v>
          </cell>
          <cell r="B1105">
            <v>2978.87</v>
          </cell>
          <cell r="C1105">
            <v>2998.28</v>
          </cell>
          <cell r="D1105">
            <v>2973.09</v>
          </cell>
          <cell r="E1105">
            <v>2995.11</v>
          </cell>
          <cell r="F1105">
            <v>2995.11</v>
          </cell>
        </row>
        <row r="1106">
          <cell r="A1106">
            <v>43665</v>
          </cell>
          <cell r="B1106">
            <v>3004.26</v>
          </cell>
          <cell r="C1106">
            <v>3006.02</v>
          </cell>
          <cell r="D1106">
            <v>2975.86</v>
          </cell>
          <cell r="E1106">
            <v>2976.61</v>
          </cell>
          <cell r="F1106">
            <v>2976.61</v>
          </cell>
        </row>
        <row r="1107">
          <cell r="A1107">
            <v>43668</v>
          </cell>
          <cell r="B1107">
            <v>2981.93</v>
          </cell>
          <cell r="C1107">
            <v>2990.71</v>
          </cell>
          <cell r="D1107">
            <v>2976.65</v>
          </cell>
          <cell r="E1107">
            <v>2985.03</v>
          </cell>
          <cell r="F1107">
            <v>2985.03</v>
          </cell>
        </row>
        <row r="1108">
          <cell r="A1108">
            <v>43669</v>
          </cell>
          <cell r="B1108">
            <v>2994.74</v>
          </cell>
          <cell r="C1108">
            <v>3005.9</v>
          </cell>
          <cell r="D1108">
            <v>2988.56</v>
          </cell>
          <cell r="E1108">
            <v>3005.47</v>
          </cell>
          <cell r="F1108">
            <v>3005.47</v>
          </cell>
        </row>
        <row r="1109">
          <cell r="A1109">
            <v>43670</v>
          </cell>
          <cell r="B1109">
            <v>2998.77</v>
          </cell>
          <cell r="C1109">
            <v>3019.59</v>
          </cell>
          <cell r="D1109">
            <v>2996.82</v>
          </cell>
          <cell r="E1109">
            <v>3019.56</v>
          </cell>
          <cell r="F1109">
            <v>3019.56</v>
          </cell>
        </row>
        <row r="1110">
          <cell r="A1110">
            <v>43671</v>
          </cell>
          <cell r="B1110">
            <v>3016.26</v>
          </cell>
          <cell r="C1110">
            <v>3016.31</v>
          </cell>
          <cell r="D1110">
            <v>2997.24</v>
          </cell>
          <cell r="E1110">
            <v>3003.67</v>
          </cell>
          <cell r="F1110">
            <v>3003.67</v>
          </cell>
        </row>
        <row r="1111">
          <cell r="A1111">
            <v>43672</v>
          </cell>
          <cell r="B1111">
            <v>3013.25</v>
          </cell>
          <cell r="C1111">
            <v>3027.98</v>
          </cell>
          <cell r="D1111">
            <v>3012.59</v>
          </cell>
          <cell r="E1111">
            <v>3025.86</v>
          </cell>
          <cell r="F1111">
            <v>3025.86</v>
          </cell>
        </row>
        <row r="1112">
          <cell r="A1112">
            <v>43675</v>
          </cell>
          <cell r="B1112">
            <v>3024.47</v>
          </cell>
          <cell r="C1112">
            <v>3025.61</v>
          </cell>
          <cell r="D1112">
            <v>3014.3</v>
          </cell>
          <cell r="E1112">
            <v>3020.97</v>
          </cell>
          <cell r="F1112">
            <v>3020.97</v>
          </cell>
        </row>
        <row r="1113">
          <cell r="A1113">
            <v>43676</v>
          </cell>
          <cell r="B1113">
            <v>3007.66</v>
          </cell>
          <cell r="C1113">
            <v>3017.19</v>
          </cell>
          <cell r="D1113">
            <v>3000.94</v>
          </cell>
          <cell r="E1113">
            <v>3013.18</v>
          </cell>
          <cell r="F1113">
            <v>3013.18</v>
          </cell>
        </row>
        <row r="1114">
          <cell r="A1114">
            <v>43677</v>
          </cell>
          <cell r="B1114">
            <v>3016.22</v>
          </cell>
          <cell r="C1114">
            <v>3017.4</v>
          </cell>
          <cell r="D1114">
            <v>2958.08</v>
          </cell>
          <cell r="E1114">
            <v>2980.38</v>
          </cell>
          <cell r="F1114">
            <v>2980.38</v>
          </cell>
        </row>
        <row r="1115">
          <cell r="A1115">
            <v>43678</v>
          </cell>
          <cell r="B1115">
            <v>2980.32</v>
          </cell>
          <cell r="C1115">
            <v>3013.59</v>
          </cell>
          <cell r="D1115">
            <v>2945.23</v>
          </cell>
          <cell r="E1115">
            <v>2953.56</v>
          </cell>
          <cell r="F1115">
            <v>2953.56</v>
          </cell>
        </row>
        <row r="1116">
          <cell r="A1116">
            <v>43679</v>
          </cell>
          <cell r="B1116">
            <v>2943.9</v>
          </cell>
          <cell r="C1116">
            <v>2945.5</v>
          </cell>
          <cell r="D1116">
            <v>2914.11</v>
          </cell>
          <cell r="E1116">
            <v>2932.05</v>
          </cell>
          <cell r="F1116">
            <v>2932.05</v>
          </cell>
        </row>
        <row r="1117">
          <cell r="A1117">
            <v>43682</v>
          </cell>
          <cell r="B1117">
            <v>2898.07</v>
          </cell>
          <cell r="C1117">
            <v>2898.07</v>
          </cell>
          <cell r="D1117">
            <v>2822.12</v>
          </cell>
          <cell r="E1117">
            <v>2844.74</v>
          </cell>
          <cell r="F1117">
            <v>2844.74</v>
          </cell>
        </row>
        <row r="1118">
          <cell r="A1118">
            <v>43683</v>
          </cell>
          <cell r="B1118">
            <v>2861.18</v>
          </cell>
          <cell r="C1118">
            <v>2884.4</v>
          </cell>
          <cell r="D1118">
            <v>2847.42</v>
          </cell>
          <cell r="E1118">
            <v>2881.77</v>
          </cell>
          <cell r="F1118">
            <v>2881.77</v>
          </cell>
        </row>
        <row r="1119">
          <cell r="A1119">
            <v>43684</v>
          </cell>
          <cell r="B1119">
            <v>2858.65</v>
          </cell>
          <cell r="C1119">
            <v>2892.17</v>
          </cell>
          <cell r="D1119">
            <v>2825.71</v>
          </cell>
          <cell r="E1119">
            <v>2883.98</v>
          </cell>
          <cell r="F1119">
            <v>2883.98</v>
          </cell>
        </row>
        <row r="1120">
          <cell r="A1120">
            <v>43685</v>
          </cell>
          <cell r="B1120">
            <v>2896.21</v>
          </cell>
          <cell r="C1120">
            <v>2938.72</v>
          </cell>
          <cell r="D1120">
            <v>2894.47</v>
          </cell>
          <cell r="E1120">
            <v>2938.09</v>
          </cell>
          <cell r="F1120">
            <v>2938.09</v>
          </cell>
        </row>
        <row r="1121">
          <cell r="A1121">
            <v>43686</v>
          </cell>
          <cell r="B1121">
            <v>2930.51</v>
          </cell>
          <cell r="C1121">
            <v>2935.75</v>
          </cell>
          <cell r="D1121">
            <v>2900.15</v>
          </cell>
          <cell r="E1121">
            <v>2918.65</v>
          </cell>
          <cell r="F1121">
            <v>2918.65</v>
          </cell>
        </row>
        <row r="1122">
          <cell r="A1122">
            <v>43689</v>
          </cell>
          <cell r="B1122">
            <v>2907.07</v>
          </cell>
          <cell r="C1122">
            <v>2907.58</v>
          </cell>
          <cell r="D1122">
            <v>2873.14</v>
          </cell>
          <cell r="E1122">
            <v>2882.7</v>
          </cell>
          <cell r="F1122">
            <v>2882.7</v>
          </cell>
        </row>
        <row r="1123">
          <cell r="A1123">
            <v>43690</v>
          </cell>
          <cell r="B1123">
            <v>2880.72</v>
          </cell>
          <cell r="C1123">
            <v>2943.31</v>
          </cell>
          <cell r="D1123">
            <v>2877.05</v>
          </cell>
          <cell r="E1123">
            <v>2926.32</v>
          </cell>
          <cell r="F1123">
            <v>2926.32</v>
          </cell>
        </row>
        <row r="1124">
          <cell r="A1124">
            <v>43691</v>
          </cell>
          <cell r="B1124">
            <v>2894.15</v>
          </cell>
          <cell r="C1124">
            <v>2894.15</v>
          </cell>
          <cell r="D1124">
            <v>2839.64</v>
          </cell>
          <cell r="E1124">
            <v>2840.6</v>
          </cell>
          <cell r="F1124">
            <v>2840.6</v>
          </cell>
        </row>
        <row r="1125">
          <cell r="A1125">
            <v>43692</v>
          </cell>
          <cell r="B1125">
            <v>2846.2</v>
          </cell>
          <cell r="C1125">
            <v>2856.67</v>
          </cell>
          <cell r="D1125">
            <v>2825.51</v>
          </cell>
          <cell r="E1125">
            <v>2847.6</v>
          </cell>
          <cell r="F1125">
            <v>2847.6</v>
          </cell>
        </row>
        <row r="1126">
          <cell r="A1126">
            <v>43693</v>
          </cell>
          <cell r="B1126">
            <v>2864.74</v>
          </cell>
          <cell r="C1126">
            <v>2893.63</v>
          </cell>
          <cell r="D1126">
            <v>2864.74</v>
          </cell>
          <cell r="E1126">
            <v>2888.68</v>
          </cell>
          <cell r="F1126">
            <v>2888.68</v>
          </cell>
        </row>
        <row r="1127">
          <cell r="A1127">
            <v>43696</v>
          </cell>
          <cell r="B1127">
            <v>2913.48</v>
          </cell>
          <cell r="C1127">
            <v>2931</v>
          </cell>
          <cell r="D1127">
            <v>2913.48</v>
          </cell>
          <cell r="E1127">
            <v>2923.65</v>
          </cell>
          <cell r="F1127">
            <v>2923.65</v>
          </cell>
        </row>
        <row r="1128">
          <cell r="A1128">
            <v>43697</v>
          </cell>
          <cell r="B1128">
            <v>2919.01</v>
          </cell>
          <cell r="C1128">
            <v>2923.63</v>
          </cell>
          <cell r="D1128">
            <v>2899.6</v>
          </cell>
          <cell r="E1128">
            <v>2900.51</v>
          </cell>
          <cell r="F1128">
            <v>2900.51</v>
          </cell>
        </row>
        <row r="1129">
          <cell r="A1129">
            <v>43698</v>
          </cell>
          <cell r="B1129">
            <v>2922.04</v>
          </cell>
          <cell r="C1129">
            <v>2928.73</v>
          </cell>
          <cell r="D1129">
            <v>2917.91</v>
          </cell>
          <cell r="E1129">
            <v>2924.43</v>
          </cell>
          <cell r="F1129">
            <v>2924.43</v>
          </cell>
        </row>
        <row r="1130">
          <cell r="A1130">
            <v>43699</v>
          </cell>
          <cell r="B1130">
            <v>2930.94</v>
          </cell>
          <cell r="C1130">
            <v>2939.08</v>
          </cell>
          <cell r="D1130">
            <v>2904.51</v>
          </cell>
          <cell r="E1130">
            <v>2922.95</v>
          </cell>
          <cell r="F1130">
            <v>2922.95</v>
          </cell>
        </row>
        <row r="1131">
          <cell r="A1131">
            <v>43700</v>
          </cell>
          <cell r="B1131">
            <v>2911.07</v>
          </cell>
          <cell r="C1131">
            <v>2927.01</v>
          </cell>
          <cell r="D1131">
            <v>2834.97</v>
          </cell>
          <cell r="E1131">
            <v>2847.11</v>
          </cell>
          <cell r="F1131">
            <v>2847.11</v>
          </cell>
        </row>
        <row r="1132">
          <cell r="A1132">
            <v>43703</v>
          </cell>
          <cell r="B1132">
            <v>2866.7</v>
          </cell>
          <cell r="C1132">
            <v>2879.27</v>
          </cell>
          <cell r="D1132">
            <v>2856</v>
          </cell>
          <cell r="E1132">
            <v>2878.38</v>
          </cell>
          <cell r="F1132">
            <v>2878.38</v>
          </cell>
        </row>
        <row r="1133">
          <cell r="A1133">
            <v>43704</v>
          </cell>
          <cell r="B1133">
            <v>2893.14</v>
          </cell>
          <cell r="C1133">
            <v>2898.79</v>
          </cell>
          <cell r="D1133">
            <v>2860.59</v>
          </cell>
          <cell r="E1133">
            <v>2869.16</v>
          </cell>
          <cell r="F1133">
            <v>2869.16</v>
          </cell>
        </row>
        <row r="1134">
          <cell r="A1134">
            <v>43705</v>
          </cell>
          <cell r="B1134">
            <v>2861.28</v>
          </cell>
          <cell r="C1134">
            <v>2890.03</v>
          </cell>
          <cell r="D1134">
            <v>2853.05</v>
          </cell>
          <cell r="E1134">
            <v>2887.94</v>
          </cell>
          <cell r="F1134">
            <v>2887.94</v>
          </cell>
        </row>
        <row r="1135">
          <cell r="A1135">
            <v>43706</v>
          </cell>
          <cell r="B1135">
            <v>2910.37</v>
          </cell>
          <cell r="C1135">
            <v>2930.5</v>
          </cell>
          <cell r="D1135">
            <v>2905.67</v>
          </cell>
          <cell r="E1135">
            <v>2924.58</v>
          </cell>
          <cell r="F1135">
            <v>2924.58</v>
          </cell>
        </row>
        <row r="1136">
          <cell r="A1136">
            <v>43707</v>
          </cell>
          <cell r="B1136">
            <v>2937.09</v>
          </cell>
          <cell r="C1136">
            <v>2940.43</v>
          </cell>
          <cell r="D1136">
            <v>2913.32</v>
          </cell>
          <cell r="E1136">
            <v>2926.46</v>
          </cell>
          <cell r="F1136">
            <v>2926.46</v>
          </cell>
        </row>
        <row r="1137">
          <cell r="A1137">
            <v>43711</v>
          </cell>
          <cell r="B1137">
            <v>2909.01</v>
          </cell>
          <cell r="C1137">
            <v>2914.39</v>
          </cell>
          <cell r="D1137">
            <v>2891.85</v>
          </cell>
          <cell r="E1137">
            <v>2906.27</v>
          </cell>
          <cell r="F1137">
            <v>2906.27</v>
          </cell>
        </row>
        <row r="1138">
          <cell r="A1138">
            <v>43712</v>
          </cell>
          <cell r="B1138">
            <v>2924.67</v>
          </cell>
          <cell r="C1138">
            <v>2938.84</v>
          </cell>
          <cell r="D1138">
            <v>2921.86</v>
          </cell>
          <cell r="E1138">
            <v>2937.78</v>
          </cell>
          <cell r="F1138">
            <v>2937.78</v>
          </cell>
        </row>
        <row r="1139">
          <cell r="A1139">
            <v>43713</v>
          </cell>
          <cell r="B1139">
            <v>2960.6</v>
          </cell>
          <cell r="C1139">
            <v>2985.86</v>
          </cell>
          <cell r="D1139">
            <v>2960.6</v>
          </cell>
          <cell r="E1139">
            <v>2976</v>
          </cell>
          <cell r="F1139">
            <v>2976</v>
          </cell>
        </row>
        <row r="1140">
          <cell r="A1140">
            <v>43714</v>
          </cell>
          <cell r="B1140">
            <v>2980.33</v>
          </cell>
          <cell r="C1140">
            <v>2985.03</v>
          </cell>
          <cell r="D1140">
            <v>2972.51</v>
          </cell>
          <cell r="E1140">
            <v>2978.71</v>
          </cell>
          <cell r="F1140">
            <v>2978.71</v>
          </cell>
        </row>
        <row r="1141">
          <cell r="A1141">
            <v>43717</v>
          </cell>
          <cell r="B1141">
            <v>2988.43</v>
          </cell>
          <cell r="C1141">
            <v>2989.43</v>
          </cell>
          <cell r="D1141">
            <v>2969.39</v>
          </cell>
          <cell r="E1141">
            <v>2978.43</v>
          </cell>
          <cell r="F1141">
            <v>2978.43</v>
          </cell>
        </row>
        <row r="1142">
          <cell r="A1142">
            <v>43718</v>
          </cell>
          <cell r="B1142">
            <v>2971.01</v>
          </cell>
          <cell r="C1142">
            <v>2979.39</v>
          </cell>
          <cell r="D1142">
            <v>2957.01</v>
          </cell>
          <cell r="E1142">
            <v>2979.39</v>
          </cell>
          <cell r="F1142">
            <v>2979.39</v>
          </cell>
        </row>
        <row r="1143">
          <cell r="A1143">
            <v>43719</v>
          </cell>
          <cell r="B1143">
            <v>2981.41</v>
          </cell>
          <cell r="C1143">
            <v>3000.93</v>
          </cell>
          <cell r="D1143">
            <v>2975.31</v>
          </cell>
          <cell r="E1143">
            <v>3000.93</v>
          </cell>
          <cell r="F1143">
            <v>3000.93</v>
          </cell>
        </row>
        <row r="1144">
          <cell r="A1144">
            <v>43720</v>
          </cell>
          <cell r="B1144">
            <v>3009.08</v>
          </cell>
          <cell r="C1144">
            <v>3020.74</v>
          </cell>
          <cell r="D1144">
            <v>3000.92</v>
          </cell>
          <cell r="E1144">
            <v>3009.57</v>
          </cell>
          <cell r="F1144">
            <v>3009.57</v>
          </cell>
        </row>
        <row r="1145">
          <cell r="A1145">
            <v>43721</v>
          </cell>
          <cell r="B1145">
            <v>3012.21</v>
          </cell>
          <cell r="C1145">
            <v>3017.33</v>
          </cell>
          <cell r="D1145">
            <v>3002.9</v>
          </cell>
          <cell r="E1145">
            <v>3007.39</v>
          </cell>
          <cell r="F1145">
            <v>3007.39</v>
          </cell>
        </row>
        <row r="1146">
          <cell r="A1146">
            <v>43724</v>
          </cell>
          <cell r="B1146">
            <v>2996.41</v>
          </cell>
          <cell r="C1146">
            <v>3002.19</v>
          </cell>
          <cell r="D1146">
            <v>2990.67</v>
          </cell>
          <cell r="E1146">
            <v>2997.96</v>
          </cell>
          <cell r="F1146">
            <v>2997.96</v>
          </cell>
        </row>
        <row r="1147">
          <cell r="A1147">
            <v>43725</v>
          </cell>
          <cell r="B1147">
            <v>2995.67</v>
          </cell>
          <cell r="C1147">
            <v>3006.21</v>
          </cell>
          <cell r="D1147">
            <v>2993.73</v>
          </cell>
          <cell r="E1147">
            <v>3005.7</v>
          </cell>
          <cell r="F1147">
            <v>3005.7</v>
          </cell>
        </row>
        <row r="1148">
          <cell r="A1148">
            <v>43726</v>
          </cell>
          <cell r="B1148">
            <v>3001.5</v>
          </cell>
          <cell r="C1148">
            <v>3007.83</v>
          </cell>
          <cell r="D1148">
            <v>2978.57</v>
          </cell>
          <cell r="E1148">
            <v>3006.73</v>
          </cell>
          <cell r="F1148">
            <v>3006.73</v>
          </cell>
        </row>
        <row r="1149">
          <cell r="A1149">
            <v>43727</v>
          </cell>
          <cell r="B1149">
            <v>3010.36</v>
          </cell>
          <cell r="C1149">
            <v>3021.99</v>
          </cell>
          <cell r="D1149">
            <v>3003.16</v>
          </cell>
          <cell r="E1149">
            <v>3006.79</v>
          </cell>
          <cell r="F1149">
            <v>3006.79</v>
          </cell>
        </row>
        <row r="1150">
          <cell r="A1150">
            <v>43728</v>
          </cell>
          <cell r="B1150">
            <v>3008.42</v>
          </cell>
          <cell r="C1150">
            <v>3016.37</v>
          </cell>
          <cell r="D1150">
            <v>2984.68</v>
          </cell>
          <cell r="E1150">
            <v>2992.07</v>
          </cell>
          <cell r="F1150">
            <v>2992.07</v>
          </cell>
        </row>
        <row r="1151">
          <cell r="A1151">
            <v>43731</v>
          </cell>
          <cell r="B1151">
            <v>2983.5</v>
          </cell>
          <cell r="C1151">
            <v>2999.15</v>
          </cell>
          <cell r="D1151">
            <v>2982.23</v>
          </cell>
          <cell r="E1151">
            <v>2991.78</v>
          </cell>
          <cell r="F1151">
            <v>2991.78</v>
          </cell>
        </row>
        <row r="1152">
          <cell r="A1152">
            <v>43732</v>
          </cell>
          <cell r="B1152">
            <v>3002.43</v>
          </cell>
          <cell r="C1152">
            <v>3007.98</v>
          </cell>
          <cell r="D1152">
            <v>2957.73</v>
          </cell>
          <cell r="E1152">
            <v>2966.6</v>
          </cell>
          <cell r="F1152">
            <v>2966.6</v>
          </cell>
        </row>
        <row r="1153">
          <cell r="A1153">
            <v>43733</v>
          </cell>
          <cell r="B1153">
            <v>2968.35</v>
          </cell>
          <cell r="C1153">
            <v>2989.82</v>
          </cell>
          <cell r="D1153">
            <v>2952.86</v>
          </cell>
          <cell r="E1153">
            <v>2984.87</v>
          </cell>
          <cell r="F1153">
            <v>2984.87</v>
          </cell>
        </row>
        <row r="1154">
          <cell r="A1154">
            <v>43734</v>
          </cell>
          <cell r="B1154">
            <v>2985.73</v>
          </cell>
          <cell r="C1154">
            <v>2987.28</v>
          </cell>
          <cell r="D1154">
            <v>2963.71</v>
          </cell>
          <cell r="E1154">
            <v>2977.62</v>
          </cell>
          <cell r="F1154">
            <v>2977.62</v>
          </cell>
        </row>
        <row r="1155">
          <cell r="A1155">
            <v>43735</v>
          </cell>
          <cell r="B1155">
            <v>2985.47</v>
          </cell>
          <cell r="C1155">
            <v>2987.31</v>
          </cell>
          <cell r="D1155">
            <v>2945.53</v>
          </cell>
          <cell r="E1155">
            <v>2961.79</v>
          </cell>
          <cell r="F1155">
            <v>2961.79</v>
          </cell>
        </row>
        <row r="1156">
          <cell r="A1156">
            <v>43738</v>
          </cell>
          <cell r="B1156">
            <v>2967.07</v>
          </cell>
          <cell r="C1156">
            <v>2983.85</v>
          </cell>
          <cell r="D1156">
            <v>2967.07</v>
          </cell>
          <cell r="E1156">
            <v>2976.74</v>
          </cell>
          <cell r="F1156">
            <v>2976.74</v>
          </cell>
        </row>
        <row r="1157">
          <cell r="A1157">
            <v>43739</v>
          </cell>
          <cell r="B1157">
            <v>2983.69</v>
          </cell>
          <cell r="C1157">
            <v>2992.53</v>
          </cell>
          <cell r="D1157">
            <v>2938.7</v>
          </cell>
          <cell r="E1157">
            <v>2940.25</v>
          </cell>
          <cell r="F1157">
            <v>2940.25</v>
          </cell>
        </row>
        <row r="1158">
          <cell r="A1158">
            <v>43740</v>
          </cell>
          <cell r="B1158">
            <v>2924.78</v>
          </cell>
          <cell r="C1158">
            <v>2924.78</v>
          </cell>
          <cell r="D1158">
            <v>2874.93</v>
          </cell>
          <cell r="E1158">
            <v>2887.61</v>
          </cell>
          <cell r="F1158">
            <v>2887.61</v>
          </cell>
        </row>
        <row r="1159">
          <cell r="A1159">
            <v>43741</v>
          </cell>
          <cell r="B1159">
            <v>2885.38</v>
          </cell>
          <cell r="C1159">
            <v>2911.13</v>
          </cell>
          <cell r="D1159">
            <v>2855.94</v>
          </cell>
          <cell r="E1159">
            <v>2910.63</v>
          </cell>
          <cell r="F1159">
            <v>2910.63</v>
          </cell>
        </row>
        <row r="1160">
          <cell r="A1160">
            <v>43742</v>
          </cell>
          <cell r="B1160">
            <v>2918.56</v>
          </cell>
          <cell r="C1160">
            <v>2953.74</v>
          </cell>
          <cell r="D1160">
            <v>2918.56</v>
          </cell>
          <cell r="E1160">
            <v>2952.01</v>
          </cell>
          <cell r="F1160">
            <v>2952.01</v>
          </cell>
        </row>
        <row r="1161">
          <cell r="A1161">
            <v>43745</v>
          </cell>
          <cell r="B1161">
            <v>2944.23</v>
          </cell>
          <cell r="C1161">
            <v>2959.75</v>
          </cell>
          <cell r="D1161">
            <v>2935.68</v>
          </cell>
          <cell r="E1161">
            <v>2938.79</v>
          </cell>
          <cell r="F1161">
            <v>2938.79</v>
          </cell>
        </row>
        <row r="1162">
          <cell r="A1162">
            <v>43746</v>
          </cell>
          <cell r="B1162">
            <v>2920.4</v>
          </cell>
          <cell r="C1162">
            <v>2925.47</v>
          </cell>
          <cell r="D1162">
            <v>2892.66</v>
          </cell>
          <cell r="E1162">
            <v>2893.06</v>
          </cell>
          <cell r="F1162">
            <v>2893.06</v>
          </cell>
        </row>
        <row r="1163">
          <cell r="A1163">
            <v>43747</v>
          </cell>
          <cell r="B1163">
            <v>2911.1</v>
          </cell>
          <cell r="C1163">
            <v>2929.32</v>
          </cell>
          <cell r="D1163">
            <v>2907.41</v>
          </cell>
          <cell r="E1163">
            <v>2919.4</v>
          </cell>
          <cell r="F1163">
            <v>2919.4</v>
          </cell>
        </row>
        <row r="1164">
          <cell r="A1164">
            <v>43748</v>
          </cell>
          <cell r="B1164">
            <v>2918.55</v>
          </cell>
          <cell r="C1164">
            <v>2948.46</v>
          </cell>
          <cell r="D1164">
            <v>2917.12</v>
          </cell>
          <cell r="E1164">
            <v>2938.13</v>
          </cell>
          <cell r="F1164">
            <v>2938.13</v>
          </cell>
        </row>
        <row r="1165">
          <cell r="A1165">
            <v>43749</v>
          </cell>
          <cell r="B1165">
            <v>2963.07</v>
          </cell>
          <cell r="C1165">
            <v>2993.28</v>
          </cell>
          <cell r="D1165">
            <v>2963.07</v>
          </cell>
          <cell r="E1165">
            <v>2970.27</v>
          </cell>
          <cell r="F1165">
            <v>2970.27</v>
          </cell>
        </row>
        <row r="1166">
          <cell r="A1166">
            <v>43752</v>
          </cell>
          <cell r="B1166">
            <v>2965.81</v>
          </cell>
          <cell r="C1166">
            <v>2972.84</v>
          </cell>
          <cell r="D1166">
            <v>2962.94</v>
          </cell>
          <cell r="E1166">
            <v>2966.15</v>
          </cell>
          <cell r="F1166">
            <v>2966.15</v>
          </cell>
        </row>
        <row r="1167">
          <cell r="A1167">
            <v>43753</v>
          </cell>
          <cell r="B1167">
            <v>2973.61</v>
          </cell>
          <cell r="C1167">
            <v>3003.28</v>
          </cell>
          <cell r="D1167">
            <v>2973.61</v>
          </cell>
          <cell r="E1167">
            <v>2995.68</v>
          </cell>
          <cell r="F1167">
            <v>2995.68</v>
          </cell>
        </row>
        <row r="1168">
          <cell r="A1168">
            <v>43754</v>
          </cell>
          <cell r="B1168">
            <v>2989.68</v>
          </cell>
          <cell r="C1168">
            <v>2997.54</v>
          </cell>
          <cell r="D1168">
            <v>2985.2</v>
          </cell>
          <cell r="E1168">
            <v>2989.69</v>
          </cell>
          <cell r="F1168">
            <v>2989.69</v>
          </cell>
        </row>
        <row r="1169">
          <cell r="A1169">
            <v>43755</v>
          </cell>
          <cell r="B1169">
            <v>3000.77</v>
          </cell>
          <cell r="C1169">
            <v>3008.29</v>
          </cell>
          <cell r="D1169">
            <v>2991.79</v>
          </cell>
          <cell r="E1169">
            <v>2997.95</v>
          </cell>
          <cell r="F1169">
            <v>2997.95</v>
          </cell>
        </row>
        <row r="1170">
          <cell r="A1170">
            <v>43756</v>
          </cell>
          <cell r="B1170">
            <v>2996.84</v>
          </cell>
          <cell r="C1170">
            <v>3000</v>
          </cell>
          <cell r="D1170">
            <v>2976.31</v>
          </cell>
          <cell r="E1170">
            <v>2986.2</v>
          </cell>
          <cell r="F1170">
            <v>2986.2</v>
          </cell>
        </row>
        <row r="1171">
          <cell r="A1171">
            <v>43759</v>
          </cell>
          <cell r="B1171">
            <v>2996.48</v>
          </cell>
          <cell r="C1171">
            <v>3007.33</v>
          </cell>
          <cell r="D1171">
            <v>2995.35</v>
          </cell>
          <cell r="E1171">
            <v>3006.72</v>
          </cell>
          <cell r="F1171">
            <v>3006.72</v>
          </cell>
        </row>
        <row r="1172">
          <cell r="A1172">
            <v>43760</v>
          </cell>
          <cell r="B1172">
            <v>3010.73</v>
          </cell>
          <cell r="C1172">
            <v>3014.57</v>
          </cell>
          <cell r="D1172">
            <v>2995.04</v>
          </cell>
          <cell r="E1172">
            <v>2995.99</v>
          </cell>
          <cell r="F1172">
            <v>2995.99</v>
          </cell>
        </row>
        <row r="1173">
          <cell r="A1173">
            <v>43761</v>
          </cell>
          <cell r="B1173">
            <v>2994.01</v>
          </cell>
          <cell r="C1173">
            <v>3004.78</v>
          </cell>
          <cell r="D1173">
            <v>2991.21</v>
          </cell>
          <cell r="E1173">
            <v>3004.52</v>
          </cell>
          <cell r="F1173">
            <v>3004.52</v>
          </cell>
        </row>
        <row r="1174">
          <cell r="A1174">
            <v>43762</v>
          </cell>
          <cell r="B1174">
            <v>3014.78</v>
          </cell>
          <cell r="C1174">
            <v>3016.07</v>
          </cell>
          <cell r="D1174">
            <v>3000.42</v>
          </cell>
          <cell r="E1174">
            <v>3010.29</v>
          </cell>
          <cell r="F1174">
            <v>3010.29</v>
          </cell>
        </row>
        <row r="1175">
          <cell r="A1175">
            <v>43763</v>
          </cell>
          <cell r="B1175">
            <v>3003.32</v>
          </cell>
          <cell r="C1175">
            <v>3027.39</v>
          </cell>
          <cell r="D1175">
            <v>3001.94</v>
          </cell>
          <cell r="E1175">
            <v>3022.55</v>
          </cell>
          <cell r="F1175">
            <v>3022.55</v>
          </cell>
        </row>
        <row r="1176">
          <cell r="A1176">
            <v>43766</v>
          </cell>
          <cell r="B1176">
            <v>3032.12</v>
          </cell>
          <cell r="C1176">
            <v>3044.08</v>
          </cell>
          <cell r="D1176">
            <v>3032.12</v>
          </cell>
          <cell r="E1176">
            <v>3039.42</v>
          </cell>
          <cell r="F1176">
            <v>3039.42</v>
          </cell>
        </row>
        <row r="1177">
          <cell r="A1177">
            <v>43767</v>
          </cell>
          <cell r="B1177">
            <v>3035.39</v>
          </cell>
          <cell r="C1177">
            <v>3047.87</v>
          </cell>
          <cell r="D1177">
            <v>3034.81</v>
          </cell>
          <cell r="E1177">
            <v>3036.89</v>
          </cell>
          <cell r="F1177">
            <v>3036.89</v>
          </cell>
        </row>
        <row r="1178">
          <cell r="A1178">
            <v>43768</v>
          </cell>
          <cell r="B1178">
            <v>3039.74</v>
          </cell>
          <cell r="C1178">
            <v>3050.1</v>
          </cell>
          <cell r="D1178">
            <v>3025.96</v>
          </cell>
          <cell r="E1178">
            <v>3046.77</v>
          </cell>
          <cell r="F1178">
            <v>3046.77</v>
          </cell>
        </row>
        <row r="1179">
          <cell r="A1179">
            <v>43769</v>
          </cell>
          <cell r="B1179">
            <v>3046.9</v>
          </cell>
          <cell r="C1179">
            <v>3046.9</v>
          </cell>
          <cell r="D1179">
            <v>3023.19</v>
          </cell>
          <cell r="E1179">
            <v>3037.56</v>
          </cell>
          <cell r="F1179">
            <v>3037.56</v>
          </cell>
        </row>
        <row r="1180">
          <cell r="A1180">
            <v>43770</v>
          </cell>
          <cell r="B1180">
            <v>3050.72</v>
          </cell>
          <cell r="C1180">
            <v>3066.95</v>
          </cell>
          <cell r="D1180">
            <v>3050.72</v>
          </cell>
          <cell r="E1180">
            <v>3066.91</v>
          </cell>
          <cell r="F1180">
            <v>3066.91</v>
          </cell>
        </row>
        <row r="1181">
          <cell r="A1181">
            <v>43773</v>
          </cell>
          <cell r="B1181">
            <v>3078.96</v>
          </cell>
          <cell r="C1181">
            <v>3085.2</v>
          </cell>
          <cell r="D1181">
            <v>3074.87</v>
          </cell>
          <cell r="E1181">
            <v>3078.27</v>
          </cell>
          <cell r="F1181">
            <v>3078.27</v>
          </cell>
        </row>
        <row r="1182">
          <cell r="A1182">
            <v>43774</v>
          </cell>
          <cell r="B1182">
            <v>3080.8</v>
          </cell>
          <cell r="C1182">
            <v>3083.95</v>
          </cell>
          <cell r="D1182">
            <v>3072.15</v>
          </cell>
          <cell r="E1182">
            <v>3074.62</v>
          </cell>
          <cell r="F1182">
            <v>3074.62</v>
          </cell>
        </row>
        <row r="1183">
          <cell r="A1183">
            <v>43775</v>
          </cell>
          <cell r="B1183">
            <v>3075.1</v>
          </cell>
          <cell r="C1183">
            <v>3078.34</v>
          </cell>
          <cell r="D1183">
            <v>3065.89</v>
          </cell>
          <cell r="E1183">
            <v>3076.78</v>
          </cell>
          <cell r="F1183">
            <v>3076.78</v>
          </cell>
        </row>
        <row r="1184">
          <cell r="A1184">
            <v>43776</v>
          </cell>
          <cell r="B1184">
            <v>3087.02</v>
          </cell>
          <cell r="C1184">
            <v>3097.77</v>
          </cell>
          <cell r="D1184">
            <v>3080.23</v>
          </cell>
          <cell r="E1184">
            <v>3085.18</v>
          </cell>
          <cell r="F1184">
            <v>3085.18</v>
          </cell>
        </row>
        <row r="1185">
          <cell r="A1185">
            <v>43777</v>
          </cell>
          <cell r="B1185">
            <v>3081.25</v>
          </cell>
          <cell r="C1185">
            <v>3093.09</v>
          </cell>
          <cell r="D1185">
            <v>3073.58</v>
          </cell>
          <cell r="E1185">
            <v>3093.08</v>
          </cell>
          <cell r="F1185">
            <v>3093.08</v>
          </cell>
        </row>
        <row r="1186">
          <cell r="A1186">
            <v>43780</v>
          </cell>
          <cell r="B1186">
            <v>3080.33</v>
          </cell>
          <cell r="C1186">
            <v>3088.33</v>
          </cell>
          <cell r="D1186">
            <v>3075.82</v>
          </cell>
          <cell r="E1186">
            <v>3087.01</v>
          </cell>
          <cell r="F1186">
            <v>3087.01</v>
          </cell>
        </row>
        <row r="1187">
          <cell r="A1187">
            <v>43781</v>
          </cell>
          <cell r="B1187">
            <v>3089.28</v>
          </cell>
          <cell r="C1187">
            <v>3102.61</v>
          </cell>
          <cell r="D1187">
            <v>3084.73</v>
          </cell>
          <cell r="E1187">
            <v>3091.84</v>
          </cell>
          <cell r="F1187">
            <v>3091.84</v>
          </cell>
        </row>
        <row r="1188">
          <cell r="A1188">
            <v>43782</v>
          </cell>
          <cell r="B1188">
            <v>3084.18</v>
          </cell>
          <cell r="C1188">
            <v>3098.06</v>
          </cell>
          <cell r="D1188">
            <v>3078.8</v>
          </cell>
          <cell r="E1188">
            <v>3094.04</v>
          </cell>
          <cell r="F1188">
            <v>3094.04</v>
          </cell>
        </row>
        <row r="1189">
          <cell r="A1189">
            <v>43783</v>
          </cell>
          <cell r="B1189">
            <v>3090.75</v>
          </cell>
          <cell r="C1189">
            <v>3098.2</v>
          </cell>
          <cell r="D1189">
            <v>3083.26</v>
          </cell>
          <cell r="E1189">
            <v>3096.63</v>
          </cell>
          <cell r="F1189">
            <v>3096.63</v>
          </cell>
        </row>
        <row r="1190">
          <cell r="A1190">
            <v>43784</v>
          </cell>
          <cell r="B1190">
            <v>3107.92</v>
          </cell>
          <cell r="C1190">
            <v>3120.46</v>
          </cell>
          <cell r="D1190">
            <v>3104.6</v>
          </cell>
          <cell r="E1190">
            <v>3120.46</v>
          </cell>
          <cell r="F1190">
            <v>3120.46</v>
          </cell>
        </row>
        <row r="1191">
          <cell r="A1191">
            <v>43787</v>
          </cell>
          <cell r="B1191">
            <v>3117.91</v>
          </cell>
          <cell r="C1191">
            <v>3124.17</v>
          </cell>
          <cell r="D1191">
            <v>3112.06</v>
          </cell>
          <cell r="E1191">
            <v>3122.03</v>
          </cell>
          <cell r="F1191">
            <v>3122.03</v>
          </cell>
        </row>
        <row r="1192">
          <cell r="A1192">
            <v>43788</v>
          </cell>
          <cell r="B1192">
            <v>3127.45</v>
          </cell>
          <cell r="C1192">
            <v>3127.64</v>
          </cell>
          <cell r="D1192">
            <v>3113.47</v>
          </cell>
          <cell r="E1192">
            <v>3120.18</v>
          </cell>
          <cell r="F1192">
            <v>3120.18</v>
          </cell>
        </row>
        <row r="1193">
          <cell r="A1193">
            <v>43789</v>
          </cell>
          <cell r="B1193">
            <v>3114.66</v>
          </cell>
          <cell r="C1193">
            <v>3118.97</v>
          </cell>
          <cell r="D1193">
            <v>3091.41</v>
          </cell>
          <cell r="E1193">
            <v>3108.46</v>
          </cell>
          <cell r="F1193">
            <v>3108.46</v>
          </cell>
        </row>
        <row r="1194">
          <cell r="A1194">
            <v>43790</v>
          </cell>
          <cell r="B1194">
            <v>3108.49</v>
          </cell>
          <cell r="C1194">
            <v>3110.11</v>
          </cell>
          <cell r="D1194">
            <v>3094.55</v>
          </cell>
          <cell r="E1194">
            <v>3103.54</v>
          </cell>
          <cell r="F1194">
            <v>3103.54</v>
          </cell>
        </row>
        <row r="1195">
          <cell r="A1195">
            <v>43791</v>
          </cell>
          <cell r="B1195">
            <v>3111.41</v>
          </cell>
          <cell r="C1195">
            <v>3112.87</v>
          </cell>
          <cell r="D1195">
            <v>3099.26</v>
          </cell>
          <cell r="E1195">
            <v>3110.29</v>
          </cell>
          <cell r="F1195">
            <v>3110.29</v>
          </cell>
        </row>
        <row r="1196">
          <cell r="A1196">
            <v>43794</v>
          </cell>
          <cell r="B1196">
            <v>3117.44</v>
          </cell>
          <cell r="C1196">
            <v>3133.83</v>
          </cell>
          <cell r="D1196">
            <v>3117.44</v>
          </cell>
          <cell r="E1196">
            <v>3133.64</v>
          </cell>
          <cell r="F1196">
            <v>3133.64</v>
          </cell>
        </row>
        <row r="1197">
          <cell r="A1197">
            <v>43795</v>
          </cell>
          <cell r="B1197">
            <v>3134.85</v>
          </cell>
          <cell r="C1197">
            <v>3142.69</v>
          </cell>
          <cell r="D1197">
            <v>3131</v>
          </cell>
          <cell r="E1197">
            <v>3140.52</v>
          </cell>
          <cell r="F1197">
            <v>3140.52</v>
          </cell>
        </row>
        <row r="1198">
          <cell r="A1198">
            <v>43796</v>
          </cell>
          <cell r="B1198">
            <v>3145.49</v>
          </cell>
          <cell r="C1198">
            <v>3154.26</v>
          </cell>
          <cell r="D1198">
            <v>3143.41</v>
          </cell>
          <cell r="E1198">
            <v>3153.63</v>
          </cell>
          <cell r="F1198">
            <v>3153.63</v>
          </cell>
        </row>
        <row r="1199">
          <cell r="A1199">
            <v>43798</v>
          </cell>
          <cell r="B1199">
            <v>3147.18</v>
          </cell>
          <cell r="C1199">
            <v>3150.3</v>
          </cell>
          <cell r="D1199">
            <v>3139.34</v>
          </cell>
          <cell r="E1199">
            <v>3140.98</v>
          </cell>
          <cell r="F1199">
            <v>3140.98</v>
          </cell>
        </row>
        <row r="1200">
          <cell r="A1200">
            <v>43801</v>
          </cell>
          <cell r="B1200">
            <v>3143.85</v>
          </cell>
          <cell r="C1200">
            <v>3144.31</v>
          </cell>
          <cell r="D1200">
            <v>3110.78</v>
          </cell>
          <cell r="E1200">
            <v>3113.87</v>
          </cell>
          <cell r="F1200">
            <v>3113.87</v>
          </cell>
        </row>
        <row r="1201">
          <cell r="A1201">
            <v>43802</v>
          </cell>
          <cell r="B1201">
            <v>3087.41</v>
          </cell>
          <cell r="C1201">
            <v>3094.97</v>
          </cell>
          <cell r="D1201">
            <v>3070.33</v>
          </cell>
          <cell r="E1201">
            <v>3093.2</v>
          </cell>
          <cell r="F1201">
            <v>3093.2</v>
          </cell>
        </row>
        <row r="1202">
          <cell r="A1202">
            <v>43803</v>
          </cell>
          <cell r="B1202">
            <v>3103.5</v>
          </cell>
          <cell r="C1202">
            <v>3119.38</v>
          </cell>
          <cell r="D1202">
            <v>3102.53</v>
          </cell>
          <cell r="E1202">
            <v>3112.76</v>
          </cell>
          <cell r="F1202">
            <v>3112.76</v>
          </cell>
        </row>
        <row r="1203">
          <cell r="A1203">
            <v>43804</v>
          </cell>
          <cell r="B1203">
            <v>3119.21</v>
          </cell>
          <cell r="C1203">
            <v>3119.45</v>
          </cell>
          <cell r="D1203">
            <v>3103.76</v>
          </cell>
          <cell r="E1203">
            <v>3117.43</v>
          </cell>
          <cell r="F1203">
            <v>3117.43</v>
          </cell>
        </row>
        <row r="1204">
          <cell r="A1204">
            <v>43805</v>
          </cell>
          <cell r="B1204">
            <v>3134.62</v>
          </cell>
          <cell r="C1204">
            <v>3150.6</v>
          </cell>
          <cell r="D1204">
            <v>3134.62</v>
          </cell>
          <cell r="E1204">
            <v>3145.91</v>
          </cell>
          <cell r="F1204">
            <v>3145.91</v>
          </cell>
        </row>
        <row r="1205">
          <cell r="A1205">
            <v>43808</v>
          </cell>
          <cell r="B1205">
            <v>3141.86</v>
          </cell>
          <cell r="C1205">
            <v>3148.87</v>
          </cell>
          <cell r="D1205">
            <v>3135.46</v>
          </cell>
          <cell r="E1205">
            <v>3135.96</v>
          </cell>
          <cell r="F1205">
            <v>3135.96</v>
          </cell>
        </row>
        <row r="1206">
          <cell r="A1206">
            <v>43809</v>
          </cell>
          <cell r="B1206">
            <v>3135.36</v>
          </cell>
          <cell r="C1206">
            <v>3142.12</v>
          </cell>
          <cell r="D1206">
            <v>3126.09</v>
          </cell>
          <cell r="E1206">
            <v>3132.52</v>
          </cell>
          <cell r="F1206">
            <v>3132.52</v>
          </cell>
        </row>
        <row r="1207">
          <cell r="A1207">
            <v>43810</v>
          </cell>
          <cell r="B1207">
            <v>3135.75</v>
          </cell>
          <cell r="C1207">
            <v>3143.98</v>
          </cell>
          <cell r="D1207">
            <v>3133.21</v>
          </cell>
          <cell r="E1207">
            <v>3141.63</v>
          </cell>
          <cell r="F1207">
            <v>3141.63</v>
          </cell>
        </row>
        <row r="1208">
          <cell r="A1208">
            <v>43811</v>
          </cell>
          <cell r="B1208">
            <v>3141.23</v>
          </cell>
          <cell r="C1208">
            <v>3176.28</v>
          </cell>
          <cell r="D1208">
            <v>3138.47</v>
          </cell>
          <cell r="E1208">
            <v>3168.57</v>
          </cell>
          <cell r="F1208">
            <v>3168.57</v>
          </cell>
        </row>
        <row r="1209">
          <cell r="A1209">
            <v>43812</v>
          </cell>
          <cell r="B1209">
            <v>3166.65</v>
          </cell>
          <cell r="C1209">
            <v>3182.68</v>
          </cell>
          <cell r="D1209">
            <v>3156.51</v>
          </cell>
          <cell r="E1209">
            <v>3168.8</v>
          </cell>
          <cell r="F1209">
            <v>3168.8</v>
          </cell>
        </row>
        <row r="1210">
          <cell r="A1210">
            <v>43815</v>
          </cell>
          <cell r="B1210">
            <v>3183.63</v>
          </cell>
          <cell r="C1210">
            <v>3197.71</v>
          </cell>
          <cell r="D1210">
            <v>3183.63</v>
          </cell>
          <cell r="E1210">
            <v>3191.45</v>
          </cell>
          <cell r="F1210">
            <v>3191.45</v>
          </cell>
        </row>
        <row r="1211">
          <cell r="A1211">
            <v>43816</v>
          </cell>
          <cell r="B1211">
            <v>3195.4</v>
          </cell>
          <cell r="C1211">
            <v>3198.22</v>
          </cell>
          <cell r="D1211">
            <v>3191.03</v>
          </cell>
          <cell r="E1211">
            <v>3192.52</v>
          </cell>
          <cell r="F1211">
            <v>3192.52</v>
          </cell>
        </row>
        <row r="1212">
          <cell r="A1212">
            <v>43817</v>
          </cell>
          <cell r="B1212">
            <v>3195.21</v>
          </cell>
          <cell r="C1212">
            <v>3198.48</v>
          </cell>
          <cell r="D1212">
            <v>3191.14</v>
          </cell>
          <cell r="E1212">
            <v>3191.14</v>
          </cell>
          <cell r="F1212">
            <v>3191.14</v>
          </cell>
        </row>
        <row r="1213">
          <cell r="A1213">
            <v>43818</v>
          </cell>
          <cell r="B1213">
            <v>3192.32</v>
          </cell>
          <cell r="C1213">
            <v>3205.48</v>
          </cell>
          <cell r="D1213">
            <v>3192.32</v>
          </cell>
          <cell r="E1213">
            <v>3205.37</v>
          </cell>
          <cell r="F1213">
            <v>3205.37</v>
          </cell>
        </row>
        <row r="1214">
          <cell r="A1214">
            <v>43819</v>
          </cell>
          <cell r="B1214">
            <v>3223.33</v>
          </cell>
          <cell r="C1214">
            <v>3225.65</v>
          </cell>
          <cell r="D1214">
            <v>3216.03</v>
          </cell>
          <cell r="E1214">
            <v>3221.22</v>
          </cell>
          <cell r="F1214">
            <v>3221.22</v>
          </cell>
        </row>
        <row r="1215">
          <cell r="A1215">
            <v>43822</v>
          </cell>
          <cell r="B1215">
            <v>3226.05</v>
          </cell>
          <cell r="C1215">
            <v>3227.78</v>
          </cell>
          <cell r="D1215">
            <v>3222.3</v>
          </cell>
          <cell r="E1215">
            <v>3224.01</v>
          </cell>
          <cell r="F1215">
            <v>3224.01</v>
          </cell>
        </row>
        <row r="1216">
          <cell r="A1216">
            <v>43823</v>
          </cell>
          <cell r="B1216">
            <v>3225.45</v>
          </cell>
          <cell r="C1216">
            <v>3226.43</v>
          </cell>
          <cell r="D1216">
            <v>3220.51</v>
          </cell>
          <cell r="E1216">
            <v>3223.38</v>
          </cell>
          <cell r="F1216">
            <v>3223.38</v>
          </cell>
        </row>
        <row r="1217">
          <cell r="A1217">
            <v>43825</v>
          </cell>
          <cell r="B1217">
            <v>3227.2</v>
          </cell>
          <cell r="C1217">
            <v>3240.08</v>
          </cell>
          <cell r="D1217">
            <v>3227.2</v>
          </cell>
          <cell r="E1217">
            <v>3239.91</v>
          </cell>
          <cell r="F1217">
            <v>3239.91</v>
          </cell>
        </row>
        <row r="1218">
          <cell r="A1218">
            <v>43826</v>
          </cell>
          <cell r="B1218">
            <v>3247.23</v>
          </cell>
          <cell r="C1218">
            <v>3247.93</v>
          </cell>
          <cell r="D1218">
            <v>3234.37</v>
          </cell>
          <cell r="E1218">
            <v>3240.02</v>
          </cell>
          <cell r="F1218">
            <v>3240.02</v>
          </cell>
        </row>
        <row r="1219">
          <cell r="A1219">
            <v>43829</v>
          </cell>
          <cell r="B1219">
            <v>3240.09</v>
          </cell>
          <cell r="C1219">
            <v>3240.92</v>
          </cell>
          <cell r="D1219">
            <v>3216.57</v>
          </cell>
          <cell r="E1219">
            <v>3221.29</v>
          </cell>
          <cell r="F1219">
            <v>3221.29</v>
          </cell>
        </row>
        <row r="1220">
          <cell r="A1220">
            <v>43830</v>
          </cell>
          <cell r="B1220">
            <v>3215.18</v>
          </cell>
          <cell r="C1220">
            <v>3231.72</v>
          </cell>
          <cell r="D1220">
            <v>3212.03</v>
          </cell>
          <cell r="E1220">
            <v>3230.78</v>
          </cell>
          <cell r="F1220">
            <v>3230.78</v>
          </cell>
        </row>
        <row r="1221">
          <cell r="A1221">
            <v>43832</v>
          </cell>
          <cell r="B1221">
            <v>3244.67</v>
          </cell>
          <cell r="C1221">
            <v>3258.14</v>
          </cell>
          <cell r="D1221">
            <v>3235.53</v>
          </cell>
          <cell r="E1221">
            <v>3257.85</v>
          </cell>
          <cell r="F1221">
            <v>3257.85</v>
          </cell>
        </row>
        <row r="1222">
          <cell r="A1222">
            <v>43833</v>
          </cell>
          <cell r="B1222">
            <v>3226.36</v>
          </cell>
          <cell r="C1222">
            <v>3246.15</v>
          </cell>
          <cell r="D1222">
            <v>3222.34</v>
          </cell>
          <cell r="E1222">
            <v>3234.85</v>
          </cell>
          <cell r="F1222">
            <v>3234.85</v>
          </cell>
        </row>
        <row r="1223">
          <cell r="A1223">
            <v>43836</v>
          </cell>
          <cell r="B1223">
            <v>3217.55</v>
          </cell>
          <cell r="C1223">
            <v>3246.84</v>
          </cell>
          <cell r="D1223">
            <v>3214.64</v>
          </cell>
          <cell r="E1223">
            <v>3246.28</v>
          </cell>
          <cell r="F1223">
            <v>3246.28</v>
          </cell>
        </row>
        <row r="1224">
          <cell r="A1224">
            <v>43837</v>
          </cell>
          <cell r="B1224">
            <v>3241.86</v>
          </cell>
          <cell r="C1224">
            <v>3244.91</v>
          </cell>
          <cell r="D1224">
            <v>3232.43</v>
          </cell>
          <cell r="E1224">
            <v>3237.18</v>
          </cell>
          <cell r="F1224">
            <v>3237.18</v>
          </cell>
        </row>
        <row r="1225">
          <cell r="A1225">
            <v>43838</v>
          </cell>
          <cell r="B1225">
            <v>3238.59</v>
          </cell>
          <cell r="C1225">
            <v>3267.07</v>
          </cell>
          <cell r="D1225">
            <v>3236.67</v>
          </cell>
          <cell r="E1225">
            <v>3253.05</v>
          </cell>
          <cell r="F1225">
            <v>3253.05</v>
          </cell>
        </row>
        <row r="1226">
          <cell r="A1226">
            <v>43839</v>
          </cell>
          <cell r="B1226">
            <v>3266.03</v>
          </cell>
          <cell r="C1226">
            <v>3275.58</v>
          </cell>
          <cell r="D1226">
            <v>3263.67</v>
          </cell>
          <cell r="E1226">
            <v>3274.7</v>
          </cell>
          <cell r="F1226">
            <v>3274.7</v>
          </cell>
        </row>
        <row r="1227">
          <cell r="A1227">
            <v>43840</v>
          </cell>
          <cell r="B1227">
            <v>3281.81</v>
          </cell>
          <cell r="C1227">
            <v>3282.99</v>
          </cell>
          <cell r="D1227">
            <v>3260.86</v>
          </cell>
          <cell r="E1227">
            <v>3265.35</v>
          </cell>
          <cell r="F1227">
            <v>3265.35</v>
          </cell>
        </row>
        <row r="1228">
          <cell r="A1228">
            <v>43843</v>
          </cell>
          <cell r="B1228">
            <v>3271.13</v>
          </cell>
          <cell r="C1228">
            <v>3288.13</v>
          </cell>
          <cell r="D1228">
            <v>3268.43</v>
          </cell>
          <cell r="E1228">
            <v>3288.13</v>
          </cell>
          <cell r="F1228">
            <v>3288.13</v>
          </cell>
        </row>
        <row r="1229">
          <cell r="A1229">
            <v>43844</v>
          </cell>
          <cell r="B1229">
            <v>3285.35</v>
          </cell>
          <cell r="C1229">
            <v>3294.25</v>
          </cell>
          <cell r="D1229">
            <v>3277.19</v>
          </cell>
          <cell r="E1229">
            <v>3283.15</v>
          </cell>
          <cell r="F1229">
            <v>3283.15</v>
          </cell>
        </row>
        <row r="1230">
          <cell r="A1230">
            <v>43845</v>
          </cell>
          <cell r="B1230">
            <v>3282.27</v>
          </cell>
          <cell r="C1230">
            <v>3298.66</v>
          </cell>
          <cell r="D1230">
            <v>3280.69</v>
          </cell>
          <cell r="E1230">
            <v>3289.29</v>
          </cell>
          <cell r="F1230">
            <v>3289.29</v>
          </cell>
        </row>
        <row r="1231">
          <cell r="A1231">
            <v>43846</v>
          </cell>
          <cell r="B1231">
            <v>3302.97</v>
          </cell>
          <cell r="C1231">
            <v>3317.11</v>
          </cell>
          <cell r="D1231">
            <v>3302.82</v>
          </cell>
          <cell r="E1231">
            <v>3316.81</v>
          </cell>
          <cell r="F1231">
            <v>3316.81</v>
          </cell>
        </row>
        <row r="1232">
          <cell r="A1232">
            <v>43847</v>
          </cell>
          <cell r="B1232">
            <v>3323.66</v>
          </cell>
          <cell r="C1232">
            <v>3329.88</v>
          </cell>
          <cell r="D1232">
            <v>3318.86</v>
          </cell>
          <cell r="E1232">
            <v>3329.62</v>
          </cell>
          <cell r="F1232">
            <v>3329.62</v>
          </cell>
        </row>
        <row r="1233">
          <cell r="A1233">
            <v>43851</v>
          </cell>
          <cell r="B1233">
            <v>3321.03</v>
          </cell>
          <cell r="C1233">
            <v>3329.79</v>
          </cell>
          <cell r="D1233">
            <v>3316.61</v>
          </cell>
          <cell r="E1233">
            <v>3320.79</v>
          </cell>
          <cell r="F1233">
            <v>3320.79</v>
          </cell>
        </row>
        <row r="1234">
          <cell r="A1234">
            <v>43852</v>
          </cell>
          <cell r="B1234">
            <v>3330.02</v>
          </cell>
          <cell r="C1234">
            <v>3337.77</v>
          </cell>
          <cell r="D1234">
            <v>3320.04</v>
          </cell>
          <cell r="E1234">
            <v>3321.75</v>
          </cell>
          <cell r="F1234">
            <v>3321.75</v>
          </cell>
        </row>
        <row r="1235">
          <cell r="A1235">
            <v>43853</v>
          </cell>
          <cell r="B1235">
            <v>3315.77</v>
          </cell>
          <cell r="C1235">
            <v>3326.88</v>
          </cell>
          <cell r="D1235">
            <v>3301.87</v>
          </cell>
          <cell r="E1235">
            <v>3325.54</v>
          </cell>
          <cell r="F1235">
            <v>3325.54</v>
          </cell>
        </row>
        <row r="1236">
          <cell r="A1236">
            <v>43854</v>
          </cell>
          <cell r="B1236">
            <v>3333.1</v>
          </cell>
          <cell r="C1236">
            <v>3333.18</v>
          </cell>
          <cell r="D1236">
            <v>3281.53</v>
          </cell>
          <cell r="E1236">
            <v>3295.47</v>
          </cell>
          <cell r="F1236">
            <v>3295.47</v>
          </cell>
        </row>
        <row r="1237">
          <cell r="A1237">
            <v>43857</v>
          </cell>
          <cell r="B1237">
            <v>3247.16</v>
          </cell>
          <cell r="C1237">
            <v>3258.85</v>
          </cell>
          <cell r="D1237">
            <v>3234.5</v>
          </cell>
          <cell r="E1237">
            <v>3243.63</v>
          </cell>
          <cell r="F1237">
            <v>3243.63</v>
          </cell>
        </row>
        <row r="1238">
          <cell r="A1238">
            <v>43858</v>
          </cell>
          <cell r="B1238">
            <v>3255.35</v>
          </cell>
          <cell r="C1238">
            <v>3285.78</v>
          </cell>
          <cell r="D1238">
            <v>3253.22</v>
          </cell>
          <cell r="E1238">
            <v>3276.24</v>
          </cell>
          <cell r="F1238">
            <v>3276.24</v>
          </cell>
        </row>
        <row r="1239">
          <cell r="A1239">
            <v>43859</v>
          </cell>
          <cell r="B1239">
            <v>3289.46</v>
          </cell>
          <cell r="C1239">
            <v>3293.47</v>
          </cell>
          <cell r="D1239">
            <v>3271.89</v>
          </cell>
          <cell r="E1239">
            <v>3273.4</v>
          </cell>
          <cell r="F1239">
            <v>3273.4</v>
          </cell>
        </row>
        <row r="1240">
          <cell r="A1240">
            <v>43860</v>
          </cell>
          <cell r="B1240">
            <v>3256.45</v>
          </cell>
          <cell r="C1240">
            <v>3285.91</v>
          </cell>
          <cell r="D1240">
            <v>3242.8</v>
          </cell>
          <cell r="E1240">
            <v>3283.66</v>
          </cell>
          <cell r="F1240">
            <v>3283.66</v>
          </cell>
        </row>
        <row r="1241">
          <cell r="A1241">
            <v>43861</v>
          </cell>
          <cell r="B1241">
            <v>3282.33</v>
          </cell>
          <cell r="C1241">
            <v>3282.33</v>
          </cell>
          <cell r="D1241">
            <v>3214.68</v>
          </cell>
          <cell r="E1241">
            <v>3225.52</v>
          </cell>
          <cell r="F1241">
            <v>3225.52</v>
          </cell>
        </row>
        <row r="1242">
          <cell r="A1242">
            <v>43864</v>
          </cell>
          <cell r="B1242">
            <v>3235.66</v>
          </cell>
          <cell r="C1242">
            <v>3268.44</v>
          </cell>
          <cell r="D1242">
            <v>3235.66</v>
          </cell>
          <cell r="E1242">
            <v>3248.92</v>
          </cell>
          <cell r="F1242">
            <v>3248.92</v>
          </cell>
        </row>
        <row r="1243">
          <cell r="A1243">
            <v>43865</v>
          </cell>
          <cell r="B1243">
            <v>3280.61</v>
          </cell>
          <cell r="C1243">
            <v>3306.92</v>
          </cell>
          <cell r="D1243">
            <v>3280.61</v>
          </cell>
          <cell r="E1243">
            <v>3297.59</v>
          </cell>
          <cell r="F1243">
            <v>3297.59</v>
          </cell>
        </row>
        <row r="1244">
          <cell r="A1244">
            <v>43866</v>
          </cell>
          <cell r="B1244">
            <v>3324.91</v>
          </cell>
          <cell r="C1244">
            <v>3337.58</v>
          </cell>
          <cell r="D1244">
            <v>3313.75</v>
          </cell>
          <cell r="E1244">
            <v>3334.69</v>
          </cell>
          <cell r="F1244">
            <v>3334.69</v>
          </cell>
        </row>
        <row r="1245">
          <cell r="A1245">
            <v>43867</v>
          </cell>
          <cell r="B1245">
            <v>3344.92</v>
          </cell>
          <cell r="C1245">
            <v>3347.96</v>
          </cell>
          <cell r="D1245">
            <v>3334.39</v>
          </cell>
          <cell r="E1245">
            <v>3345.78</v>
          </cell>
          <cell r="F1245">
            <v>3345.78</v>
          </cell>
        </row>
        <row r="1246">
          <cell r="A1246">
            <v>43868</v>
          </cell>
          <cell r="B1246">
            <v>3335.54</v>
          </cell>
          <cell r="C1246">
            <v>3341.42</v>
          </cell>
          <cell r="D1246">
            <v>3322.12</v>
          </cell>
          <cell r="E1246">
            <v>3327.71</v>
          </cell>
          <cell r="F1246">
            <v>3327.71</v>
          </cell>
        </row>
        <row r="1247">
          <cell r="A1247">
            <v>43871</v>
          </cell>
          <cell r="B1247">
            <v>3318.28</v>
          </cell>
          <cell r="C1247">
            <v>3352.26</v>
          </cell>
          <cell r="D1247">
            <v>3317.77</v>
          </cell>
          <cell r="E1247">
            <v>3352.09</v>
          </cell>
          <cell r="F1247">
            <v>3352.09</v>
          </cell>
        </row>
        <row r="1248">
          <cell r="A1248">
            <v>43872</v>
          </cell>
          <cell r="B1248">
            <v>3365.87</v>
          </cell>
          <cell r="C1248">
            <v>3375.63</v>
          </cell>
          <cell r="D1248">
            <v>3352.72</v>
          </cell>
          <cell r="E1248">
            <v>3357.75</v>
          </cell>
          <cell r="F1248">
            <v>3357.75</v>
          </cell>
        </row>
        <row r="1249">
          <cell r="A1249">
            <v>43873</v>
          </cell>
          <cell r="B1249">
            <v>3370.5</v>
          </cell>
          <cell r="C1249">
            <v>3381.47</v>
          </cell>
          <cell r="D1249">
            <v>3369.72</v>
          </cell>
          <cell r="E1249">
            <v>3379.45</v>
          </cell>
          <cell r="F1249">
            <v>3379.45</v>
          </cell>
        </row>
        <row r="1250">
          <cell r="A1250">
            <v>43874</v>
          </cell>
          <cell r="B1250">
            <v>3365.9</v>
          </cell>
          <cell r="C1250">
            <v>3385.09</v>
          </cell>
          <cell r="D1250">
            <v>3360.52</v>
          </cell>
          <cell r="E1250">
            <v>3373.94</v>
          </cell>
          <cell r="F1250">
            <v>3373.94</v>
          </cell>
        </row>
        <row r="1251">
          <cell r="A1251">
            <v>43875</v>
          </cell>
          <cell r="B1251">
            <v>3378.08</v>
          </cell>
          <cell r="C1251">
            <v>3380.69</v>
          </cell>
          <cell r="D1251">
            <v>3366.15</v>
          </cell>
          <cell r="E1251">
            <v>3380.16</v>
          </cell>
          <cell r="F1251">
            <v>3380.16</v>
          </cell>
        </row>
        <row r="1252">
          <cell r="A1252">
            <v>43879</v>
          </cell>
          <cell r="B1252">
            <v>3369.04</v>
          </cell>
          <cell r="C1252">
            <v>3375.01</v>
          </cell>
          <cell r="D1252">
            <v>3355.61</v>
          </cell>
          <cell r="E1252">
            <v>3370.29</v>
          </cell>
          <cell r="F1252">
            <v>3370.29</v>
          </cell>
        </row>
        <row r="1253">
          <cell r="A1253">
            <v>43880</v>
          </cell>
          <cell r="B1253">
            <v>3380.39</v>
          </cell>
          <cell r="C1253">
            <v>3393.52</v>
          </cell>
          <cell r="D1253">
            <v>3378.83</v>
          </cell>
          <cell r="E1253">
            <v>3386.15</v>
          </cell>
          <cell r="F1253">
            <v>3386.15</v>
          </cell>
        </row>
        <row r="1254">
          <cell r="A1254">
            <v>43881</v>
          </cell>
          <cell r="B1254">
            <v>3380.45</v>
          </cell>
          <cell r="C1254">
            <v>3389.15</v>
          </cell>
          <cell r="D1254">
            <v>3341.02</v>
          </cell>
          <cell r="E1254">
            <v>3373.23</v>
          </cell>
          <cell r="F1254">
            <v>3373.23</v>
          </cell>
        </row>
        <row r="1255">
          <cell r="A1255">
            <v>43882</v>
          </cell>
          <cell r="B1255">
            <v>3360.5</v>
          </cell>
          <cell r="C1255">
            <v>3360.76</v>
          </cell>
          <cell r="D1255">
            <v>3328.45</v>
          </cell>
          <cell r="E1255">
            <v>3337.75</v>
          </cell>
          <cell r="F1255">
            <v>3337.75</v>
          </cell>
        </row>
        <row r="1256">
          <cell r="A1256">
            <v>43885</v>
          </cell>
          <cell r="B1256">
            <v>3257.61</v>
          </cell>
          <cell r="C1256">
            <v>3259.81</v>
          </cell>
          <cell r="D1256">
            <v>3214.65</v>
          </cell>
          <cell r="E1256">
            <v>3225.89</v>
          </cell>
          <cell r="F1256">
            <v>3225.89</v>
          </cell>
        </row>
        <row r="1257">
          <cell r="A1257">
            <v>43886</v>
          </cell>
          <cell r="B1257">
            <v>3238.94</v>
          </cell>
          <cell r="C1257">
            <v>3246.99</v>
          </cell>
          <cell r="D1257">
            <v>3118.77</v>
          </cell>
          <cell r="E1257">
            <v>3128.21</v>
          </cell>
          <cell r="F1257">
            <v>3128.21</v>
          </cell>
        </row>
        <row r="1258">
          <cell r="A1258">
            <v>43887</v>
          </cell>
          <cell r="B1258">
            <v>3139.9</v>
          </cell>
          <cell r="C1258">
            <v>3182.51</v>
          </cell>
          <cell r="D1258">
            <v>3108.99</v>
          </cell>
          <cell r="E1258">
            <v>3116.39</v>
          </cell>
          <cell r="F1258">
            <v>3116.39</v>
          </cell>
        </row>
        <row r="1259">
          <cell r="A1259">
            <v>43888</v>
          </cell>
          <cell r="B1259">
            <v>3062.54</v>
          </cell>
          <cell r="C1259">
            <v>3097.07</v>
          </cell>
          <cell r="D1259">
            <v>2977.39</v>
          </cell>
          <cell r="E1259">
            <v>2978.76</v>
          </cell>
          <cell r="F1259">
            <v>2978.76</v>
          </cell>
        </row>
        <row r="1260">
          <cell r="A1260">
            <v>43889</v>
          </cell>
          <cell r="B1260">
            <v>2916.9</v>
          </cell>
          <cell r="C1260">
            <v>2959.72</v>
          </cell>
          <cell r="D1260">
            <v>2855.84</v>
          </cell>
          <cell r="E1260">
            <v>2954.22</v>
          </cell>
          <cell r="F1260">
            <v>2954.22</v>
          </cell>
        </row>
        <row r="1261">
          <cell r="A1261">
            <v>43892</v>
          </cell>
          <cell r="B1261">
            <v>2974.28</v>
          </cell>
          <cell r="C1261">
            <v>3090.96</v>
          </cell>
          <cell r="D1261">
            <v>2945.19</v>
          </cell>
          <cell r="E1261">
            <v>3090.23</v>
          </cell>
          <cell r="F1261">
            <v>3090.23</v>
          </cell>
        </row>
        <row r="1262">
          <cell r="A1262">
            <v>43893</v>
          </cell>
          <cell r="B1262">
            <v>3096.46</v>
          </cell>
          <cell r="C1262">
            <v>3136.72</v>
          </cell>
          <cell r="D1262">
            <v>2976.63</v>
          </cell>
          <cell r="E1262">
            <v>3003.37</v>
          </cell>
          <cell r="F1262">
            <v>3003.37</v>
          </cell>
        </row>
        <row r="1263">
          <cell r="A1263">
            <v>43894</v>
          </cell>
          <cell r="B1263">
            <v>3045.75</v>
          </cell>
          <cell r="C1263">
            <v>3130.97</v>
          </cell>
          <cell r="D1263">
            <v>3034.38</v>
          </cell>
          <cell r="E1263">
            <v>3130.12</v>
          </cell>
          <cell r="F1263">
            <v>3130.12</v>
          </cell>
        </row>
        <row r="1264">
          <cell r="A1264">
            <v>43895</v>
          </cell>
          <cell r="B1264">
            <v>3075.7</v>
          </cell>
          <cell r="C1264">
            <v>3083.04</v>
          </cell>
          <cell r="D1264">
            <v>2999.83</v>
          </cell>
          <cell r="E1264">
            <v>3023.94</v>
          </cell>
          <cell r="F1264">
            <v>3023.94</v>
          </cell>
        </row>
        <row r="1265">
          <cell r="A1265">
            <v>43896</v>
          </cell>
          <cell r="B1265">
            <v>2954.2</v>
          </cell>
          <cell r="C1265">
            <v>2985.93</v>
          </cell>
          <cell r="D1265">
            <v>2901.54</v>
          </cell>
          <cell r="E1265">
            <v>2972.37</v>
          </cell>
          <cell r="F1265">
            <v>2972.37</v>
          </cell>
        </row>
        <row r="1266">
          <cell r="A1266">
            <v>43899</v>
          </cell>
          <cell r="B1266">
            <v>2863.89</v>
          </cell>
          <cell r="C1266">
            <v>2863.89</v>
          </cell>
          <cell r="D1266">
            <v>2734.43</v>
          </cell>
          <cell r="E1266">
            <v>2746.56</v>
          </cell>
          <cell r="F1266">
            <v>2746.56</v>
          </cell>
        </row>
        <row r="1267">
          <cell r="A1267">
            <v>43900</v>
          </cell>
          <cell r="B1267">
            <v>2813.48</v>
          </cell>
          <cell r="C1267">
            <v>2882.59</v>
          </cell>
          <cell r="D1267">
            <v>2734</v>
          </cell>
          <cell r="E1267">
            <v>2882.23</v>
          </cell>
          <cell r="F1267">
            <v>2882.23</v>
          </cell>
        </row>
        <row r="1268">
          <cell r="A1268">
            <v>43901</v>
          </cell>
          <cell r="B1268">
            <v>2825.6</v>
          </cell>
          <cell r="C1268">
            <v>2825.6</v>
          </cell>
          <cell r="D1268">
            <v>2707.22</v>
          </cell>
          <cell r="E1268">
            <v>2741.38</v>
          </cell>
          <cell r="F1268">
            <v>2741.38</v>
          </cell>
        </row>
        <row r="1269">
          <cell r="A1269">
            <v>43902</v>
          </cell>
          <cell r="B1269">
            <v>2630.86</v>
          </cell>
          <cell r="C1269">
            <v>2660.95</v>
          </cell>
          <cell r="D1269">
            <v>2478.86</v>
          </cell>
          <cell r="E1269">
            <v>2480.64</v>
          </cell>
          <cell r="F1269">
            <v>2480.64</v>
          </cell>
        </row>
        <row r="1270">
          <cell r="A1270">
            <v>43903</v>
          </cell>
          <cell r="B1270">
            <v>2569.9899999999998</v>
          </cell>
          <cell r="C1270">
            <v>2711.33</v>
          </cell>
          <cell r="D1270">
            <v>2492.37</v>
          </cell>
          <cell r="E1270">
            <v>2711.02</v>
          </cell>
          <cell r="F1270">
            <v>2711.02</v>
          </cell>
        </row>
        <row r="1271">
          <cell r="A1271">
            <v>43906</v>
          </cell>
          <cell r="B1271">
            <v>2508.59</v>
          </cell>
          <cell r="C1271">
            <v>2562.98</v>
          </cell>
          <cell r="D1271">
            <v>2380.94</v>
          </cell>
          <cell r="E1271">
            <v>2386.13</v>
          </cell>
          <cell r="F1271">
            <v>2386.13</v>
          </cell>
        </row>
        <row r="1272">
          <cell r="A1272">
            <v>43907</v>
          </cell>
          <cell r="B1272">
            <v>2425.66</v>
          </cell>
          <cell r="C1272">
            <v>2553.9299999999998</v>
          </cell>
          <cell r="D1272">
            <v>2367.04</v>
          </cell>
          <cell r="E1272">
            <v>2529.19</v>
          </cell>
          <cell r="F1272">
            <v>2529.19</v>
          </cell>
        </row>
        <row r="1273">
          <cell r="A1273">
            <v>43908</v>
          </cell>
          <cell r="B1273">
            <v>2436.5</v>
          </cell>
          <cell r="C1273">
            <v>2453.5700000000002</v>
          </cell>
          <cell r="D1273">
            <v>2280.52</v>
          </cell>
          <cell r="E1273">
            <v>2398.1</v>
          </cell>
          <cell r="F1273">
            <v>2398.1</v>
          </cell>
        </row>
        <row r="1274">
          <cell r="A1274">
            <v>43909</v>
          </cell>
          <cell r="B1274">
            <v>2393.48</v>
          </cell>
          <cell r="C1274">
            <v>2466.9699999999998</v>
          </cell>
          <cell r="D1274">
            <v>2319.7800000000002</v>
          </cell>
          <cell r="E1274">
            <v>2409.39</v>
          </cell>
          <cell r="F1274">
            <v>2409.39</v>
          </cell>
        </row>
        <row r="1275">
          <cell r="A1275">
            <v>43910</v>
          </cell>
          <cell r="B1275">
            <v>2431.94</v>
          </cell>
          <cell r="C1275">
            <v>2453.0100000000002</v>
          </cell>
          <cell r="D1275">
            <v>2295.56</v>
          </cell>
          <cell r="E1275">
            <v>2304.92</v>
          </cell>
          <cell r="F1275">
            <v>2304.92</v>
          </cell>
        </row>
        <row r="1276">
          <cell r="A1276">
            <v>43913</v>
          </cell>
          <cell r="B1276">
            <v>2290.71</v>
          </cell>
          <cell r="C1276">
            <v>2300.73</v>
          </cell>
          <cell r="D1276">
            <v>2191.86</v>
          </cell>
          <cell r="E1276">
            <v>2237.4</v>
          </cell>
          <cell r="F1276">
            <v>2237.4</v>
          </cell>
        </row>
        <row r="1277">
          <cell r="A1277">
            <v>43914</v>
          </cell>
          <cell r="B1277">
            <v>2344.44</v>
          </cell>
          <cell r="C1277">
            <v>2449.71</v>
          </cell>
          <cell r="D1277">
            <v>2344.44</v>
          </cell>
          <cell r="E1277">
            <v>2447.33</v>
          </cell>
          <cell r="F1277">
            <v>2447.33</v>
          </cell>
        </row>
        <row r="1278">
          <cell r="A1278">
            <v>43915</v>
          </cell>
          <cell r="B1278">
            <v>2457.77</v>
          </cell>
          <cell r="C1278">
            <v>2571.42</v>
          </cell>
          <cell r="D1278">
            <v>2407.5300000000002</v>
          </cell>
          <cell r="E1278">
            <v>2475.56</v>
          </cell>
          <cell r="F1278">
            <v>2475.56</v>
          </cell>
        </row>
        <row r="1279">
          <cell r="A1279">
            <v>43916</v>
          </cell>
          <cell r="B1279">
            <v>2501.29</v>
          </cell>
          <cell r="C1279">
            <v>2637.01</v>
          </cell>
          <cell r="D1279">
            <v>2500.7199999999998</v>
          </cell>
          <cell r="E1279">
            <v>2630.07</v>
          </cell>
          <cell r="F1279">
            <v>2630.07</v>
          </cell>
        </row>
        <row r="1280">
          <cell r="A1280">
            <v>43917</v>
          </cell>
          <cell r="B1280">
            <v>2555.87</v>
          </cell>
          <cell r="C1280">
            <v>2615.91</v>
          </cell>
          <cell r="D1280">
            <v>2520.02</v>
          </cell>
          <cell r="E1280">
            <v>2541.4699999999998</v>
          </cell>
          <cell r="F1280">
            <v>2541.4699999999998</v>
          </cell>
        </row>
        <row r="1281">
          <cell r="A1281">
            <v>43920</v>
          </cell>
          <cell r="B1281">
            <v>2558.98</v>
          </cell>
          <cell r="C1281">
            <v>2631.8</v>
          </cell>
          <cell r="D1281">
            <v>2545.2800000000002</v>
          </cell>
          <cell r="E1281">
            <v>2626.65</v>
          </cell>
          <cell r="F1281">
            <v>2626.65</v>
          </cell>
        </row>
        <row r="1282">
          <cell r="A1282">
            <v>43921</v>
          </cell>
          <cell r="B1282">
            <v>2614.69</v>
          </cell>
          <cell r="C1282">
            <v>2641.39</v>
          </cell>
          <cell r="D1282">
            <v>2571.15</v>
          </cell>
          <cell r="E1282">
            <v>2584.59</v>
          </cell>
          <cell r="F1282">
            <v>2584.59</v>
          </cell>
        </row>
        <row r="1283">
          <cell r="A1283">
            <v>43922</v>
          </cell>
          <cell r="B1283">
            <v>2498.08</v>
          </cell>
          <cell r="C1283">
            <v>2522.75</v>
          </cell>
          <cell r="D1283">
            <v>2447.4899999999998</v>
          </cell>
          <cell r="E1283">
            <v>2470.5</v>
          </cell>
          <cell r="F1283">
            <v>2470.5</v>
          </cell>
        </row>
        <row r="1284">
          <cell r="A1284">
            <v>43923</v>
          </cell>
          <cell r="B1284">
            <v>2458.54</v>
          </cell>
          <cell r="C1284">
            <v>2533.2199999999998</v>
          </cell>
          <cell r="D1284">
            <v>2455.79</v>
          </cell>
          <cell r="E1284">
            <v>2526.9</v>
          </cell>
          <cell r="F1284">
            <v>2526.9</v>
          </cell>
        </row>
        <row r="1285">
          <cell r="A1285">
            <v>43924</v>
          </cell>
          <cell r="B1285">
            <v>2514.92</v>
          </cell>
          <cell r="C1285">
            <v>2538.1799999999998</v>
          </cell>
          <cell r="D1285">
            <v>2459.96</v>
          </cell>
          <cell r="E1285">
            <v>2488.65</v>
          </cell>
          <cell r="F1285">
            <v>2488.65</v>
          </cell>
        </row>
        <row r="1286">
          <cell r="A1286">
            <v>43927</v>
          </cell>
          <cell r="B1286">
            <v>2578.2800000000002</v>
          </cell>
          <cell r="C1286">
            <v>2676.85</v>
          </cell>
          <cell r="D1286">
            <v>2574.5700000000002</v>
          </cell>
          <cell r="E1286">
            <v>2663.68</v>
          </cell>
          <cell r="F1286">
            <v>2663.68</v>
          </cell>
        </row>
        <row r="1287">
          <cell r="A1287">
            <v>43928</v>
          </cell>
          <cell r="B1287">
            <v>2738.65</v>
          </cell>
          <cell r="C1287">
            <v>2756.89</v>
          </cell>
          <cell r="D1287">
            <v>2657.67</v>
          </cell>
          <cell r="E1287">
            <v>2659.41</v>
          </cell>
          <cell r="F1287">
            <v>2659.41</v>
          </cell>
        </row>
        <row r="1288">
          <cell r="A1288">
            <v>43929</v>
          </cell>
          <cell r="B1288">
            <v>2685</v>
          </cell>
          <cell r="C1288">
            <v>2760.75</v>
          </cell>
          <cell r="D1288">
            <v>2663.3</v>
          </cell>
          <cell r="E1288">
            <v>2749.98</v>
          </cell>
          <cell r="F1288">
            <v>2749.98</v>
          </cell>
        </row>
        <row r="1289">
          <cell r="A1289">
            <v>43930</v>
          </cell>
          <cell r="B1289">
            <v>2776.99</v>
          </cell>
          <cell r="C1289">
            <v>2818.57</v>
          </cell>
          <cell r="D1289">
            <v>2762.36</v>
          </cell>
          <cell r="E1289">
            <v>2789.82</v>
          </cell>
          <cell r="F1289">
            <v>2789.82</v>
          </cell>
        </row>
        <row r="1290">
          <cell r="A1290">
            <v>43934</v>
          </cell>
          <cell r="B1290">
            <v>2782.46</v>
          </cell>
          <cell r="C1290">
            <v>2782.46</v>
          </cell>
          <cell r="D1290">
            <v>2721.17</v>
          </cell>
          <cell r="E1290">
            <v>2761.63</v>
          </cell>
          <cell r="F1290">
            <v>2761.63</v>
          </cell>
        </row>
        <row r="1291">
          <cell r="A1291">
            <v>43935</v>
          </cell>
          <cell r="B1291">
            <v>2805.1</v>
          </cell>
          <cell r="C1291">
            <v>2851.85</v>
          </cell>
          <cell r="D1291">
            <v>2805.1</v>
          </cell>
          <cell r="E1291">
            <v>2846.06</v>
          </cell>
          <cell r="F1291">
            <v>2846.06</v>
          </cell>
        </row>
        <row r="1292">
          <cell r="A1292">
            <v>43936</v>
          </cell>
          <cell r="B1292">
            <v>2795.64</v>
          </cell>
          <cell r="C1292">
            <v>2801.88</v>
          </cell>
          <cell r="D1292">
            <v>2761.54</v>
          </cell>
          <cell r="E1292">
            <v>2783.36</v>
          </cell>
          <cell r="F1292">
            <v>2783.36</v>
          </cell>
        </row>
        <row r="1293">
          <cell r="A1293">
            <v>43937</v>
          </cell>
          <cell r="B1293">
            <v>2799.34</v>
          </cell>
          <cell r="C1293">
            <v>2806.51</v>
          </cell>
          <cell r="D1293">
            <v>2764.32</v>
          </cell>
          <cell r="E1293">
            <v>2799.55</v>
          </cell>
          <cell r="F1293">
            <v>2799.55</v>
          </cell>
        </row>
        <row r="1294">
          <cell r="A1294">
            <v>43938</v>
          </cell>
          <cell r="B1294">
            <v>2842.43</v>
          </cell>
          <cell r="C1294">
            <v>2879.22</v>
          </cell>
          <cell r="D1294">
            <v>2830.88</v>
          </cell>
          <cell r="E1294">
            <v>2874.56</v>
          </cell>
          <cell r="F1294">
            <v>2874.56</v>
          </cell>
        </row>
        <row r="1295">
          <cell r="A1295">
            <v>43941</v>
          </cell>
          <cell r="B1295">
            <v>2845.62</v>
          </cell>
          <cell r="C1295">
            <v>2868.98</v>
          </cell>
          <cell r="D1295">
            <v>2820.43</v>
          </cell>
          <cell r="E1295">
            <v>2823.16</v>
          </cell>
          <cell r="F1295">
            <v>2823.16</v>
          </cell>
        </row>
        <row r="1296">
          <cell r="A1296">
            <v>43942</v>
          </cell>
          <cell r="B1296">
            <v>2784.81</v>
          </cell>
          <cell r="C1296">
            <v>2785.54</v>
          </cell>
          <cell r="D1296">
            <v>2727.1</v>
          </cell>
          <cell r="E1296">
            <v>2736.56</v>
          </cell>
          <cell r="F1296">
            <v>2736.56</v>
          </cell>
        </row>
        <row r="1297">
          <cell r="A1297">
            <v>43943</v>
          </cell>
          <cell r="B1297">
            <v>2787.89</v>
          </cell>
          <cell r="C1297">
            <v>2815.1</v>
          </cell>
          <cell r="D1297">
            <v>2775.95</v>
          </cell>
          <cell r="E1297">
            <v>2799.31</v>
          </cell>
          <cell r="F1297">
            <v>2799.31</v>
          </cell>
        </row>
        <row r="1298">
          <cell r="A1298">
            <v>43944</v>
          </cell>
          <cell r="B1298">
            <v>2810.42</v>
          </cell>
          <cell r="C1298">
            <v>2844.9</v>
          </cell>
          <cell r="D1298">
            <v>2794.26</v>
          </cell>
          <cell r="E1298">
            <v>2797.8</v>
          </cell>
          <cell r="F1298">
            <v>2797.8</v>
          </cell>
        </row>
        <row r="1299">
          <cell r="A1299">
            <v>43945</v>
          </cell>
          <cell r="B1299">
            <v>2812.64</v>
          </cell>
          <cell r="C1299">
            <v>2842.71</v>
          </cell>
          <cell r="D1299">
            <v>2791.76</v>
          </cell>
          <cell r="E1299">
            <v>2836.74</v>
          </cell>
          <cell r="F1299">
            <v>2836.74</v>
          </cell>
        </row>
        <row r="1300">
          <cell r="A1300">
            <v>43948</v>
          </cell>
          <cell r="B1300">
            <v>2854.65</v>
          </cell>
          <cell r="C1300">
            <v>2887.72</v>
          </cell>
          <cell r="D1300">
            <v>2852.89</v>
          </cell>
          <cell r="E1300">
            <v>2878.48</v>
          </cell>
          <cell r="F1300">
            <v>2878.48</v>
          </cell>
        </row>
        <row r="1301">
          <cell r="A1301">
            <v>43949</v>
          </cell>
          <cell r="B1301">
            <v>2909.96</v>
          </cell>
          <cell r="C1301">
            <v>2921.15</v>
          </cell>
          <cell r="D1301">
            <v>2860.71</v>
          </cell>
          <cell r="E1301">
            <v>2863.39</v>
          </cell>
          <cell r="F1301">
            <v>2863.39</v>
          </cell>
        </row>
        <row r="1302">
          <cell r="A1302">
            <v>43950</v>
          </cell>
          <cell r="B1302">
            <v>2918.46</v>
          </cell>
          <cell r="C1302">
            <v>2954.86</v>
          </cell>
          <cell r="D1302">
            <v>2912.16</v>
          </cell>
          <cell r="E1302">
            <v>2939.51</v>
          </cell>
          <cell r="F1302">
            <v>2939.51</v>
          </cell>
        </row>
        <row r="1303">
          <cell r="A1303">
            <v>43951</v>
          </cell>
          <cell r="B1303">
            <v>2930.91</v>
          </cell>
          <cell r="C1303">
            <v>2930.91</v>
          </cell>
          <cell r="D1303">
            <v>2892.47</v>
          </cell>
          <cell r="E1303">
            <v>2912.43</v>
          </cell>
          <cell r="F1303">
            <v>2912.43</v>
          </cell>
        </row>
        <row r="1304">
          <cell r="A1304">
            <v>43952</v>
          </cell>
          <cell r="B1304">
            <v>2869.09</v>
          </cell>
          <cell r="C1304">
            <v>2869.09</v>
          </cell>
          <cell r="D1304">
            <v>2821.61</v>
          </cell>
          <cell r="E1304">
            <v>2830.71</v>
          </cell>
          <cell r="F1304">
            <v>2830.71</v>
          </cell>
        </row>
        <row r="1305">
          <cell r="A1305">
            <v>43955</v>
          </cell>
          <cell r="B1305">
            <v>2815.01</v>
          </cell>
          <cell r="C1305">
            <v>2844.24</v>
          </cell>
          <cell r="D1305">
            <v>2797.85</v>
          </cell>
          <cell r="E1305">
            <v>2842.74</v>
          </cell>
          <cell r="F1305">
            <v>2842.74</v>
          </cell>
        </row>
        <row r="1306">
          <cell r="A1306">
            <v>43956</v>
          </cell>
          <cell r="B1306">
            <v>2868.88</v>
          </cell>
          <cell r="C1306">
            <v>2898.23</v>
          </cell>
          <cell r="D1306">
            <v>2863.55</v>
          </cell>
          <cell r="E1306">
            <v>2868.44</v>
          </cell>
          <cell r="F1306">
            <v>2868.44</v>
          </cell>
        </row>
        <row r="1307">
          <cell r="A1307">
            <v>43957</v>
          </cell>
          <cell r="B1307">
            <v>2883.14</v>
          </cell>
          <cell r="C1307">
            <v>2891.11</v>
          </cell>
          <cell r="D1307">
            <v>2847.65</v>
          </cell>
          <cell r="E1307">
            <v>2848.42</v>
          </cell>
          <cell r="F1307">
            <v>2848.42</v>
          </cell>
        </row>
        <row r="1308">
          <cell r="A1308">
            <v>43958</v>
          </cell>
          <cell r="B1308">
            <v>2878.26</v>
          </cell>
          <cell r="C1308">
            <v>2901.92</v>
          </cell>
          <cell r="D1308">
            <v>2876.48</v>
          </cell>
          <cell r="E1308">
            <v>2881.19</v>
          </cell>
          <cell r="F1308">
            <v>2881.19</v>
          </cell>
        </row>
        <row r="1309">
          <cell r="A1309">
            <v>43959</v>
          </cell>
          <cell r="B1309">
            <v>2908.83</v>
          </cell>
          <cell r="C1309">
            <v>2932.16</v>
          </cell>
          <cell r="D1309">
            <v>2902.88</v>
          </cell>
          <cell r="E1309">
            <v>2929.8</v>
          </cell>
          <cell r="F1309">
            <v>2929.8</v>
          </cell>
        </row>
        <row r="1310">
          <cell r="A1310">
            <v>43962</v>
          </cell>
          <cell r="B1310">
            <v>2915.46</v>
          </cell>
          <cell r="C1310">
            <v>2944.25</v>
          </cell>
          <cell r="D1310">
            <v>2903.44</v>
          </cell>
          <cell r="E1310">
            <v>2930.19</v>
          </cell>
          <cell r="F1310">
            <v>2930.19</v>
          </cell>
        </row>
        <row r="1311">
          <cell r="A1311">
            <v>43963</v>
          </cell>
          <cell r="B1311">
            <v>2939.5</v>
          </cell>
          <cell r="C1311">
            <v>2945.82</v>
          </cell>
          <cell r="D1311">
            <v>2869.59</v>
          </cell>
          <cell r="E1311">
            <v>2870.12</v>
          </cell>
          <cell r="F1311">
            <v>2870.12</v>
          </cell>
        </row>
        <row r="1312">
          <cell r="A1312">
            <v>43964</v>
          </cell>
          <cell r="B1312">
            <v>2865.86</v>
          </cell>
          <cell r="C1312">
            <v>2874.14</v>
          </cell>
          <cell r="D1312">
            <v>2793.15</v>
          </cell>
          <cell r="E1312">
            <v>2820</v>
          </cell>
          <cell r="F1312">
            <v>2820</v>
          </cell>
        </row>
        <row r="1313">
          <cell r="A1313">
            <v>43965</v>
          </cell>
          <cell r="B1313">
            <v>2794.54</v>
          </cell>
          <cell r="C1313">
            <v>2852.8</v>
          </cell>
          <cell r="D1313">
            <v>2766.64</v>
          </cell>
          <cell r="E1313">
            <v>2852.5</v>
          </cell>
          <cell r="F1313">
            <v>2852.5</v>
          </cell>
        </row>
        <row r="1314">
          <cell r="A1314">
            <v>43966</v>
          </cell>
          <cell r="B1314">
            <v>2829.95</v>
          </cell>
          <cell r="C1314">
            <v>2865.01</v>
          </cell>
          <cell r="D1314">
            <v>2816.78</v>
          </cell>
          <cell r="E1314">
            <v>2863.7</v>
          </cell>
          <cell r="F1314">
            <v>2863.7</v>
          </cell>
        </row>
        <row r="1315">
          <cell r="A1315">
            <v>43969</v>
          </cell>
          <cell r="B1315">
            <v>2913.86</v>
          </cell>
          <cell r="C1315">
            <v>2968.09</v>
          </cell>
          <cell r="D1315">
            <v>2913.86</v>
          </cell>
          <cell r="E1315">
            <v>2953.91</v>
          </cell>
          <cell r="F1315">
            <v>2953.91</v>
          </cell>
        </row>
        <row r="1316">
          <cell r="A1316">
            <v>43970</v>
          </cell>
          <cell r="B1316">
            <v>2948.59</v>
          </cell>
          <cell r="C1316">
            <v>2964.21</v>
          </cell>
          <cell r="D1316">
            <v>2922.35</v>
          </cell>
          <cell r="E1316">
            <v>2922.94</v>
          </cell>
          <cell r="F1316">
            <v>2922.94</v>
          </cell>
        </row>
        <row r="1317">
          <cell r="A1317">
            <v>43971</v>
          </cell>
          <cell r="B1317">
            <v>2953.63</v>
          </cell>
          <cell r="C1317">
            <v>2980.29</v>
          </cell>
          <cell r="D1317">
            <v>2953.63</v>
          </cell>
          <cell r="E1317">
            <v>2971.61</v>
          </cell>
          <cell r="F1317">
            <v>2971.61</v>
          </cell>
        </row>
        <row r="1318">
          <cell r="A1318">
            <v>43972</v>
          </cell>
          <cell r="B1318">
            <v>2969.95</v>
          </cell>
          <cell r="C1318">
            <v>2978.5</v>
          </cell>
          <cell r="D1318">
            <v>2938.57</v>
          </cell>
          <cell r="E1318">
            <v>2948.51</v>
          </cell>
          <cell r="F1318">
            <v>2948.51</v>
          </cell>
        </row>
        <row r="1319">
          <cell r="A1319">
            <v>43973</v>
          </cell>
          <cell r="B1319">
            <v>2948.05</v>
          </cell>
          <cell r="C1319">
            <v>2956.76</v>
          </cell>
          <cell r="D1319">
            <v>2933.59</v>
          </cell>
          <cell r="E1319">
            <v>2955.45</v>
          </cell>
          <cell r="F1319">
            <v>2955.45</v>
          </cell>
        </row>
        <row r="1320">
          <cell r="A1320">
            <v>43977</v>
          </cell>
          <cell r="B1320">
            <v>3004.08</v>
          </cell>
          <cell r="C1320">
            <v>3021.72</v>
          </cell>
          <cell r="D1320">
            <v>2988.17</v>
          </cell>
          <cell r="E1320">
            <v>2991.77</v>
          </cell>
          <cell r="F1320">
            <v>2991.77</v>
          </cell>
        </row>
        <row r="1321">
          <cell r="A1321">
            <v>43978</v>
          </cell>
          <cell r="B1321">
            <v>3015.65</v>
          </cell>
          <cell r="C1321">
            <v>3036.25</v>
          </cell>
          <cell r="D1321">
            <v>2969.75</v>
          </cell>
          <cell r="E1321">
            <v>3036.13</v>
          </cell>
          <cell r="F1321">
            <v>3036.13</v>
          </cell>
        </row>
        <row r="1322">
          <cell r="A1322">
            <v>43979</v>
          </cell>
          <cell r="B1322">
            <v>3046.61</v>
          </cell>
          <cell r="C1322">
            <v>3068.67</v>
          </cell>
          <cell r="D1322">
            <v>3023.4</v>
          </cell>
          <cell r="E1322">
            <v>3029.73</v>
          </cell>
          <cell r="F1322">
            <v>3029.73</v>
          </cell>
        </row>
        <row r="1323">
          <cell r="A1323">
            <v>43980</v>
          </cell>
          <cell r="B1323">
            <v>3025.17</v>
          </cell>
          <cell r="C1323">
            <v>3049.17</v>
          </cell>
          <cell r="D1323">
            <v>2998.61</v>
          </cell>
          <cell r="E1323">
            <v>3044.31</v>
          </cell>
          <cell r="F1323">
            <v>3044.31</v>
          </cell>
        </row>
        <row r="1324">
          <cell r="A1324">
            <v>43983</v>
          </cell>
          <cell r="B1324">
            <v>3038.78</v>
          </cell>
          <cell r="C1324">
            <v>3062.18</v>
          </cell>
          <cell r="D1324">
            <v>3031.54</v>
          </cell>
          <cell r="E1324">
            <v>3055.73</v>
          </cell>
          <cell r="F1324">
            <v>3055.73</v>
          </cell>
        </row>
        <row r="1325">
          <cell r="A1325">
            <v>43984</v>
          </cell>
          <cell r="B1325">
            <v>3064.78</v>
          </cell>
          <cell r="C1325">
            <v>3081.07</v>
          </cell>
          <cell r="D1325">
            <v>3051.64</v>
          </cell>
          <cell r="E1325">
            <v>3080.82</v>
          </cell>
          <cell r="F1325">
            <v>3080.82</v>
          </cell>
        </row>
        <row r="1326">
          <cell r="A1326">
            <v>43985</v>
          </cell>
          <cell r="B1326">
            <v>3098.9</v>
          </cell>
          <cell r="C1326">
            <v>3130.94</v>
          </cell>
          <cell r="D1326">
            <v>3098.9</v>
          </cell>
          <cell r="E1326">
            <v>3122.87</v>
          </cell>
          <cell r="F1326">
            <v>3122.87</v>
          </cell>
        </row>
        <row r="1327">
          <cell r="A1327">
            <v>43986</v>
          </cell>
          <cell r="B1327">
            <v>3111.56</v>
          </cell>
          <cell r="C1327">
            <v>3128.91</v>
          </cell>
          <cell r="D1327">
            <v>3090.41</v>
          </cell>
          <cell r="E1327">
            <v>3112.35</v>
          </cell>
          <cell r="F1327">
            <v>3112.35</v>
          </cell>
        </row>
        <row r="1328">
          <cell r="A1328">
            <v>43987</v>
          </cell>
          <cell r="B1328">
            <v>3163.84</v>
          </cell>
          <cell r="C1328">
            <v>3211.72</v>
          </cell>
          <cell r="D1328">
            <v>3163.84</v>
          </cell>
          <cell r="E1328">
            <v>3193.93</v>
          </cell>
          <cell r="F1328">
            <v>3193.93</v>
          </cell>
        </row>
        <row r="1329">
          <cell r="A1329">
            <v>43990</v>
          </cell>
          <cell r="B1329">
            <v>3199.92</v>
          </cell>
          <cell r="C1329">
            <v>3233.13</v>
          </cell>
          <cell r="D1329">
            <v>3196</v>
          </cell>
          <cell r="E1329">
            <v>3232.39</v>
          </cell>
          <cell r="F1329">
            <v>3232.39</v>
          </cell>
        </row>
        <row r="1330">
          <cell r="A1330">
            <v>43991</v>
          </cell>
          <cell r="B1330">
            <v>3213.32</v>
          </cell>
          <cell r="C1330">
            <v>3222.71</v>
          </cell>
          <cell r="D1330">
            <v>3193.11</v>
          </cell>
          <cell r="E1330">
            <v>3207.18</v>
          </cell>
          <cell r="F1330">
            <v>3207.18</v>
          </cell>
        </row>
        <row r="1331">
          <cell r="A1331">
            <v>43992</v>
          </cell>
          <cell r="B1331">
            <v>3213.42</v>
          </cell>
          <cell r="C1331">
            <v>3223.27</v>
          </cell>
          <cell r="D1331">
            <v>3181.49</v>
          </cell>
          <cell r="E1331">
            <v>3190.14</v>
          </cell>
          <cell r="F1331">
            <v>3190.14</v>
          </cell>
        </row>
        <row r="1332">
          <cell r="A1332">
            <v>43993</v>
          </cell>
          <cell r="B1332">
            <v>3123.53</v>
          </cell>
          <cell r="C1332">
            <v>3123.53</v>
          </cell>
          <cell r="D1332">
            <v>2999.49</v>
          </cell>
          <cell r="E1332">
            <v>3002.1</v>
          </cell>
          <cell r="F1332">
            <v>3002.1</v>
          </cell>
        </row>
        <row r="1333">
          <cell r="A1333">
            <v>43994</v>
          </cell>
          <cell r="B1333">
            <v>3071.04</v>
          </cell>
          <cell r="C1333">
            <v>3088.42</v>
          </cell>
          <cell r="D1333">
            <v>2984.47</v>
          </cell>
          <cell r="E1333">
            <v>3041.31</v>
          </cell>
          <cell r="F1333">
            <v>3041.31</v>
          </cell>
        </row>
        <row r="1334">
          <cell r="A1334">
            <v>43997</v>
          </cell>
          <cell r="B1334">
            <v>2993.76</v>
          </cell>
          <cell r="C1334">
            <v>3079.76</v>
          </cell>
          <cell r="D1334">
            <v>2965.66</v>
          </cell>
          <cell r="E1334">
            <v>3066.59</v>
          </cell>
          <cell r="F1334">
            <v>3066.59</v>
          </cell>
        </row>
        <row r="1335">
          <cell r="A1335">
            <v>43998</v>
          </cell>
          <cell r="B1335">
            <v>3131</v>
          </cell>
          <cell r="C1335">
            <v>3153.45</v>
          </cell>
          <cell r="D1335">
            <v>3076.06</v>
          </cell>
          <cell r="E1335">
            <v>3124.74</v>
          </cell>
          <cell r="F1335">
            <v>3124.74</v>
          </cell>
        </row>
        <row r="1336">
          <cell r="A1336">
            <v>43999</v>
          </cell>
          <cell r="B1336">
            <v>3136.13</v>
          </cell>
          <cell r="C1336">
            <v>3141.16</v>
          </cell>
          <cell r="D1336">
            <v>3108.03</v>
          </cell>
          <cell r="E1336">
            <v>3113.49</v>
          </cell>
          <cell r="F1336">
            <v>3113.49</v>
          </cell>
        </row>
        <row r="1337">
          <cell r="A1337">
            <v>44000</v>
          </cell>
          <cell r="B1337">
            <v>3101.64</v>
          </cell>
          <cell r="C1337">
            <v>3120</v>
          </cell>
          <cell r="D1337">
            <v>3093.51</v>
          </cell>
          <cell r="E1337">
            <v>3115.34</v>
          </cell>
          <cell r="F1337">
            <v>3115.34</v>
          </cell>
        </row>
        <row r="1338">
          <cell r="A1338">
            <v>44001</v>
          </cell>
          <cell r="B1338">
            <v>3140.29</v>
          </cell>
          <cell r="C1338">
            <v>3155.53</v>
          </cell>
          <cell r="D1338">
            <v>3083.11</v>
          </cell>
          <cell r="E1338">
            <v>3097.74</v>
          </cell>
          <cell r="F1338">
            <v>3097.74</v>
          </cell>
        </row>
        <row r="1339">
          <cell r="A1339">
            <v>44004</v>
          </cell>
          <cell r="B1339">
            <v>3094.42</v>
          </cell>
          <cell r="C1339">
            <v>3120.92</v>
          </cell>
          <cell r="D1339">
            <v>3079.39</v>
          </cell>
          <cell r="E1339">
            <v>3117.86</v>
          </cell>
          <cell r="F1339">
            <v>3117.86</v>
          </cell>
        </row>
        <row r="1340">
          <cell r="A1340">
            <v>44005</v>
          </cell>
          <cell r="B1340">
            <v>3138.7</v>
          </cell>
          <cell r="C1340">
            <v>3154.9</v>
          </cell>
          <cell r="D1340">
            <v>3127.12</v>
          </cell>
          <cell r="E1340">
            <v>3131.29</v>
          </cell>
          <cell r="F1340">
            <v>3131.29</v>
          </cell>
        </row>
        <row r="1341">
          <cell r="A1341">
            <v>44006</v>
          </cell>
          <cell r="B1341">
            <v>3114.4</v>
          </cell>
          <cell r="C1341">
            <v>3115.01</v>
          </cell>
          <cell r="D1341">
            <v>3032.13</v>
          </cell>
          <cell r="E1341">
            <v>3050.33</v>
          </cell>
          <cell r="F1341">
            <v>3050.33</v>
          </cell>
        </row>
        <row r="1342">
          <cell r="A1342">
            <v>44007</v>
          </cell>
          <cell r="B1342">
            <v>3046.6</v>
          </cell>
          <cell r="C1342">
            <v>3086.25</v>
          </cell>
          <cell r="D1342">
            <v>3024.01</v>
          </cell>
          <cell r="E1342">
            <v>3083.76</v>
          </cell>
          <cell r="F1342">
            <v>3083.76</v>
          </cell>
        </row>
        <row r="1343">
          <cell r="A1343">
            <v>44008</v>
          </cell>
          <cell r="B1343">
            <v>3073.2</v>
          </cell>
          <cell r="C1343">
            <v>3073.73</v>
          </cell>
          <cell r="D1343">
            <v>3004.63</v>
          </cell>
          <cell r="E1343">
            <v>3009.05</v>
          </cell>
          <cell r="F1343">
            <v>3009.05</v>
          </cell>
        </row>
        <row r="1344">
          <cell r="A1344">
            <v>44011</v>
          </cell>
          <cell r="B1344">
            <v>3018.59</v>
          </cell>
          <cell r="C1344">
            <v>3053.89</v>
          </cell>
          <cell r="D1344">
            <v>2999.74</v>
          </cell>
          <cell r="E1344">
            <v>3053.24</v>
          </cell>
          <cell r="F1344">
            <v>3053.24</v>
          </cell>
        </row>
        <row r="1345">
          <cell r="A1345">
            <v>44012</v>
          </cell>
          <cell r="B1345">
            <v>3050.2</v>
          </cell>
          <cell r="C1345">
            <v>3111.51</v>
          </cell>
          <cell r="D1345">
            <v>3047.83</v>
          </cell>
          <cell r="E1345">
            <v>3100.29</v>
          </cell>
          <cell r="F1345">
            <v>3100.29</v>
          </cell>
        </row>
        <row r="1346">
          <cell r="A1346">
            <v>44013</v>
          </cell>
          <cell r="B1346">
            <v>3105.92</v>
          </cell>
          <cell r="C1346">
            <v>3128.44</v>
          </cell>
          <cell r="D1346">
            <v>3101.17</v>
          </cell>
          <cell r="E1346">
            <v>3115.86</v>
          </cell>
          <cell r="F1346">
            <v>3115.86</v>
          </cell>
        </row>
        <row r="1347">
          <cell r="A1347">
            <v>44014</v>
          </cell>
          <cell r="B1347">
            <v>3143.64</v>
          </cell>
          <cell r="C1347">
            <v>3165.81</v>
          </cell>
          <cell r="D1347">
            <v>3124.52</v>
          </cell>
          <cell r="E1347">
            <v>3130.01</v>
          </cell>
          <cell r="F1347">
            <v>3130.01</v>
          </cell>
        </row>
        <row r="1348">
          <cell r="A1348">
            <v>44018</v>
          </cell>
          <cell r="B1348">
            <v>3155.29</v>
          </cell>
          <cell r="C1348">
            <v>3182.59</v>
          </cell>
          <cell r="D1348">
            <v>3155.29</v>
          </cell>
          <cell r="E1348">
            <v>3179.72</v>
          </cell>
          <cell r="F1348">
            <v>3179.72</v>
          </cell>
        </row>
        <row r="1349">
          <cell r="A1349">
            <v>44019</v>
          </cell>
          <cell r="B1349">
            <v>3166.44</v>
          </cell>
          <cell r="C1349">
            <v>3184.15</v>
          </cell>
          <cell r="D1349">
            <v>3142.93</v>
          </cell>
          <cell r="E1349">
            <v>3145.32</v>
          </cell>
          <cell r="F1349">
            <v>3145.32</v>
          </cell>
        </row>
        <row r="1350">
          <cell r="A1350">
            <v>44020</v>
          </cell>
          <cell r="B1350">
            <v>3153.07</v>
          </cell>
          <cell r="C1350">
            <v>3171.8</v>
          </cell>
          <cell r="D1350">
            <v>3136.53</v>
          </cell>
          <cell r="E1350">
            <v>3169.94</v>
          </cell>
          <cell r="F1350">
            <v>3169.94</v>
          </cell>
        </row>
        <row r="1351">
          <cell r="A1351">
            <v>44021</v>
          </cell>
          <cell r="B1351">
            <v>3176.17</v>
          </cell>
          <cell r="C1351">
            <v>3179.78</v>
          </cell>
          <cell r="D1351">
            <v>3115.7</v>
          </cell>
          <cell r="E1351">
            <v>3152.05</v>
          </cell>
          <cell r="F1351">
            <v>3152.05</v>
          </cell>
        </row>
        <row r="1352">
          <cell r="A1352">
            <v>44022</v>
          </cell>
          <cell r="B1352">
            <v>3152.47</v>
          </cell>
          <cell r="C1352">
            <v>3186.82</v>
          </cell>
          <cell r="D1352">
            <v>3136.22</v>
          </cell>
          <cell r="E1352">
            <v>3185.04</v>
          </cell>
          <cell r="F1352">
            <v>3185.04</v>
          </cell>
        </row>
        <row r="1353">
          <cell r="A1353">
            <v>44025</v>
          </cell>
          <cell r="B1353">
            <v>3205.08</v>
          </cell>
          <cell r="C1353">
            <v>3235.32</v>
          </cell>
          <cell r="D1353">
            <v>3149.43</v>
          </cell>
          <cell r="E1353">
            <v>3155.22</v>
          </cell>
          <cell r="F1353">
            <v>3155.22</v>
          </cell>
        </row>
        <row r="1354">
          <cell r="A1354">
            <v>44026</v>
          </cell>
          <cell r="B1354">
            <v>3141.11</v>
          </cell>
          <cell r="C1354">
            <v>3200.95</v>
          </cell>
          <cell r="D1354">
            <v>3127.66</v>
          </cell>
          <cell r="E1354">
            <v>3197.52</v>
          </cell>
          <cell r="F1354">
            <v>3197.52</v>
          </cell>
        </row>
        <row r="1355">
          <cell r="A1355">
            <v>44027</v>
          </cell>
          <cell r="B1355">
            <v>3225.98</v>
          </cell>
          <cell r="C1355">
            <v>3238.28</v>
          </cell>
          <cell r="D1355">
            <v>3200.76</v>
          </cell>
          <cell r="E1355">
            <v>3226.56</v>
          </cell>
          <cell r="F1355">
            <v>3226.56</v>
          </cell>
        </row>
        <row r="1356">
          <cell r="A1356">
            <v>44028</v>
          </cell>
          <cell r="B1356">
            <v>3208.36</v>
          </cell>
          <cell r="C1356">
            <v>3220.39</v>
          </cell>
          <cell r="D1356">
            <v>3198.59</v>
          </cell>
          <cell r="E1356">
            <v>3215.57</v>
          </cell>
          <cell r="F1356">
            <v>3215.57</v>
          </cell>
        </row>
        <row r="1357">
          <cell r="A1357">
            <v>44029</v>
          </cell>
          <cell r="B1357">
            <v>3224.21</v>
          </cell>
          <cell r="C1357">
            <v>3233.52</v>
          </cell>
          <cell r="D1357">
            <v>3205.65</v>
          </cell>
          <cell r="E1357">
            <v>3224.73</v>
          </cell>
          <cell r="F1357">
            <v>3224.73</v>
          </cell>
        </row>
        <row r="1358">
          <cell r="A1358">
            <v>44032</v>
          </cell>
          <cell r="B1358">
            <v>3224.29</v>
          </cell>
          <cell r="C1358">
            <v>3258.61</v>
          </cell>
          <cell r="D1358">
            <v>3215.16</v>
          </cell>
          <cell r="E1358">
            <v>3251.84</v>
          </cell>
          <cell r="F1358">
            <v>3251.84</v>
          </cell>
        </row>
        <row r="1359">
          <cell r="A1359">
            <v>44033</v>
          </cell>
          <cell r="B1359">
            <v>3268.52</v>
          </cell>
          <cell r="C1359">
            <v>3277.29</v>
          </cell>
          <cell r="D1359">
            <v>3247.77</v>
          </cell>
          <cell r="E1359">
            <v>3257.3</v>
          </cell>
          <cell r="F1359">
            <v>3257.3</v>
          </cell>
        </row>
        <row r="1360">
          <cell r="A1360">
            <v>44034</v>
          </cell>
          <cell r="B1360">
            <v>3254.86</v>
          </cell>
          <cell r="C1360">
            <v>3279.32</v>
          </cell>
          <cell r="D1360">
            <v>3253.1</v>
          </cell>
          <cell r="E1360">
            <v>3276.02</v>
          </cell>
          <cell r="F1360">
            <v>3276.02</v>
          </cell>
        </row>
        <row r="1361">
          <cell r="A1361">
            <v>44035</v>
          </cell>
          <cell r="B1361">
            <v>3271.64</v>
          </cell>
          <cell r="C1361">
            <v>3279.99</v>
          </cell>
          <cell r="D1361">
            <v>3222.66</v>
          </cell>
          <cell r="E1361">
            <v>3235.66</v>
          </cell>
          <cell r="F1361">
            <v>3235.66</v>
          </cell>
        </row>
        <row r="1362">
          <cell r="A1362">
            <v>44036</v>
          </cell>
          <cell r="B1362">
            <v>3218.58</v>
          </cell>
          <cell r="C1362">
            <v>3227.26</v>
          </cell>
          <cell r="D1362">
            <v>3200.05</v>
          </cell>
          <cell r="E1362">
            <v>3215.63</v>
          </cell>
          <cell r="F1362">
            <v>3215.63</v>
          </cell>
        </row>
        <row r="1363">
          <cell r="A1363">
            <v>44039</v>
          </cell>
          <cell r="B1363">
            <v>3219.84</v>
          </cell>
          <cell r="C1363">
            <v>3241.43</v>
          </cell>
          <cell r="D1363">
            <v>3214.25</v>
          </cell>
          <cell r="E1363">
            <v>3239.41</v>
          </cell>
          <cell r="F1363">
            <v>3239.41</v>
          </cell>
        </row>
        <row r="1364">
          <cell r="A1364">
            <v>44040</v>
          </cell>
          <cell r="B1364">
            <v>3234.27</v>
          </cell>
          <cell r="C1364">
            <v>3243.72</v>
          </cell>
          <cell r="D1364">
            <v>3216.17</v>
          </cell>
          <cell r="E1364">
            <v>3218.44</v>
          </cell>
          <cell r="F1364">
            <v>3218.44</v>
          </cell>
        </row>
        <row r="1365">
          <cell r="A1365">
            <v>44041</v>
          </cell>
          <cell r="B1365">
            <v>3227.22</v>
          </cell>
          <cell r="C1365">
            <v>3264.74</v>
          </cell>
          <cell r="D1365">
            <v>3227.22</v>
          </cell>
          <cell r="E1365">
            <v>3258.44</v>
          </cell>
          <cell r="F1365">
            <v>3258.44</v>
          </cell>
        </row>
        <row r="1366">
          <cell r="A1366">
            <v>44042</v>
          </cell>
          <cell r="B1366">
            <v>3231.76</v>
          </cell>
          <cell r="C1366">
            <v>3250.92</v>
          </cell>
          <cell r="D1366">
            <v>3204.13</v>
          </cell>
          <cell r="E1366">
            <v>3246.22</v>
          </cell>
          <cell r="F1366">
            <v>3246.22</v>
          </cell>
        </row>
        <row r="1367">
          <cell r="A1367">
            <v>44043</v>
          </cell>
          <cell r="B1367">
            <v>3270.45</v>
          </cell>
          <cell r="C1367">
            <v>3272.17</v>
          </cell>
          <cell r="D1367">
            <v>3220.26</v>
          </cell>
          <cell r="E1367">
            <v>3271.12</v>
          </cell>
          <cell r="F1367">
            <v>3271.12</v>
          </cell>
        </row>
        <row r="1368">
          <cell r="A1368">
            <v>44046</v>
          </cell>
          <cell r="B1368">
            <v>3288.26</v>
          </cell>
          <cell r="C1368">
            <v>3302.73</v>
          </cell>
          <cell r="D1368">
            <v>3284.53</v>
          </cell>
          <cell r="E1368">
            <v>3294.61</v>
          </cell>
          <cell r="F1368">
            <v>3294.61</v>
          </cell>
        </row>
        <row r="1369">
          <cell r="A1369">
            <v>44047</v>
          </cell>
          <cell r="B1369">
            <v>3289.92</v>
          </cell>
          <cell r="C1369">
            <v>3306.84</v>
          </cell>
          <cell r="D1369">
            <v>3286.37</v>
          </cell>
          <cell r="E1369">
            <v>3306.51</v>
          </cell>
          <cell r="F1369">
            <v>3306.51</v>
          </cell>
        </row>
        <row r="1370">
          <cell r="A1370">
            <v>44048</v>
          </cell>
          <cell r="B1370">
            <v>3317.37</v>
          </cell>
          <cell r="C1370">
            <v>3330.77</v>
          </cell>
          <cell r="D1370">
            <v>3317.37</v>
          </cell>
          <cell r="E1370">
            <v>3327.77</v>
          </cell>
          <cell r="F1370">
            <v>3327.77</v>
          </cell>
        </row>
        <row r="1371">
          <cell r="A1371">
            <v>44049</v>
          </cell>
          <cell r="B1371">
            <v>3323.17</v>
          </cell>
          <cell r="C1371">
            <v>3351.03</v>
          </cell>
          <cell r="D1371">
            <v>3318.14</v>
          </cell>
          <cell r="E1371">
            <v>3349.16</v>
          </cell>
          <cell r="F1371">
            <v>3349.16</v>
          </cell>
        </row>
        <row r="1372">
          <cell r="A1372">
            <v>44050</v>
          </cell>
          <cell r="B1372">
            <v>3340.05</v>
          </cell>
          <cell r="C1372">
            <v>3352.54</v>
          </cell>
          <cell r="D1372">
            <v>3328.72</v>
          </cell>
          <cell r="E1372">
            <v>3351.28</v>
          </cell>
          <cell r="F1372">
            <v>3351.28</v>
          </cell>
        </row>
        <row r="1373">
          <cell r="A1373">
            <v>44053</v>
          </cell>
          <cell r="B1373">
            <v>3356.04</v>
          </cell>
          <cell r="C1373">
            <v>3363.29</v>
          </cell>
          <cell r="D1373">
            <v>3335.44</v>
          </cell>
          <cell r="E1373">
            <v>3360.47</v>
          </cell>
          <cell r="F1373">
            <v>3360.47</v>
          </cell>
        </row>
        <row r="1374">
          <cell r="A1374">
            <v>44054</v>
          </cell>
          <cell r="B1374">
            <v>3370.34</v>
          </cell>
          <cell r="C1374">
            <v>3381.01</v>
          </cell>
          <cell r="D1374">
            <v>3326.44</v>
          </cell>
          <cell r="E1374">
            <v>3333.69</v>
          </cell>
          <cell r="F1374">
            <v>3333.69</v>
          </cell>
        </row>
        <row r="1375">
          <cell r="A1375">
            <v>44055</v>
          </cell>
          <cell r="B1375">
            <v>3355.46</v>
          </cell>
          <cell r="C1375">
            <v>3387.89</v>
          </cell>
          <cell r="D1375">
            <v>3355.46</v>
          </cell>
          <cell r="E1375">
            <v>3380.35</v>
          </cell>
          <cell r="F1375">
            <v>3380.35</v>
          </cell>
        </row>
        <row r="1376">
          <cell r="A1376">
            <v>44056</v>
          </cell>
          <cell r="B1376">
            <v>3372.95</v>
          </cell>
          <cell r="C1376">
            <v>3387.24</v>
          </cell>
          <cell r="D1376">
            <v>3363.35</v>
          </cell>
          <cell r="E1376">
            <v>3373.43</v>
          </cell>
          <cell r="F1376">
            <v>3373.43</v>
          </cell>
        </row>
        <row r="1377">
          <cell r="A1377">
            <v>44057</v>
          </cell>
          <cell r="B1377">
            <v>3368.66</v>
          </cell>
          <cell r="C1377">
            <v>3378.51</v>
          </cell>
          <cell r="D1377">
            <v>3361.64</v>
          </cell>
          <cell r="E1377">
            <v>3372.85</v>
          </cell>
          <cell r="F1377">
            <v>3372.85</v>
          </cell>
        </row>
        <row r="1378">
          <cell r="A1378">
            <v>44060</v>
          </cell>
          <cell r="B1378">
            <v>3380.86</v>
          </cell>
          <cell r="C1378">
            <v>3387.59</v>
          </cell>
          <cell r="D1378">
            <v>3379.22</v>
          </cell>
          <cell r="E1378">
            <v>3381.99</v>
          </cell>
          <cell r="F1378">
            <v>3381.99</v>
          </cell>
        </row>
        <row r="1379">
          <cell r="A1379">
            <v>44061</v>
          </cell>
          <cell r="B1379">
            <v>3387.04</v>
          </cell>
          <cell r="C1379">
            <v>3395.06</v>
          </cell>
          <cell r="D1379">
            <v>3370.15</v>
          </cell>
          <cell r="E1379">
            <v>3389.78</v>
          </cell>
          <cell r="F1379">
            <v>3389.78</v>
          </cell>
        </row>
        <row r="1380">
          <cell r="A1380">
            <v>44062</v>
          </cell>
          <cell r="B1380">
            <v>3392.51</v>
          </cell>
          <cell r="C1380">
            <v>3399.54</v>
          </cell>
          <cell r="D1380">
            <v>3369.66</v>
          </cell>
          <cell r="E1380">
            <v>3374.85</v>
          </cell>
          <cell r="F1380">
            <v>3374.85</v>
          </cell>
        </row>
        <row r="1381">
          <cell r="A1381">
            <v>44063</v>
          </cell>
          <cell r="B1381">
            <v>3360.48</v>
          </cell>
          <cell r="C1381">
            <v>3390.8</v>
          </cell>
          <cell r="D1381">
            <v>3354.69</v>
          </cell>
          <cell r="E1381">
            <v>3385.51</v>
          </cell>
          <cell r="F1381">
            <v>3385.51</v>
          </cell>
        </row>
        <row r="1382">
          <cell r="A1382">
            <v>44064</v>
          </cell>
          <cell r="B1382">
            <v>3386.01</v>
          </cell>
          <cell r="C1382">
            <v>3399.96</v>
          </cell>
          <cell r="D1382">
            <v>3379.31</v>
          </cell>
          <cell r="E1382">
            <v>3397.16</v>
          </cell>
          <cell r="F1382">
            <v>3397.16</v>
          </cell>
        </row>
        <row r="1383">
          <cell r="A1383">
            <v>44067</v>
          </cell>
          <cell r="B1383">
            <v>3418.09</v>
          </cell>
          <cell r="C1383">
            <v>3432.09</v>
          </cell>
          <cell r="D1383">
            <v>3413.13</v>
          </cell>
          <cell r="E1383">
            <v>3431.28</v>
          </cell>
          <cell r="F1383">
            <v>3431.28</v>
          </cell>
        </row>
        <row r="1384">
          <cell r="A1384">
            <v>44068</v>
          </cell>
          <cell r="B1384">
            <v>3435.95</v>
          </cell>
          <cell r="C1384">
            <v>3444.21</v>
          </cell>
          <cell r="D1384">
            <v>3425.84</v>
          </cell>
          <cell r="E1384">
            <v>3443.62</v>
          </cell>
          <cell r="F1384">
            <v>3443.62</v>
          </cell>
        </row>
        <row r="1385">
          <cell r="A1385">
            <v>44069</v>
          </cell>
          <cell r="B1385">
            <v>3449.97</v>
          </cell>
          <cell r="C1385">
            <v>3481.07</v>
          </cell>
          <cell r="D1385">
            <v>3444.15</v>
          </cell>
          <cell r="E1385">
            <v>3478.73</v>
          </cell>
          <cell r="F1385">
            <v>3478.73</v>
          </cell>
        </row>
        <row r="1386">
          <cell r="A1386">
            <v>44070</v>
          </cell>
          <cell r="B1386">
            <v>3485.14</v>
          </cell>
          <cell r="C1386">
            <v>3501.38</v>
          </cell>
          <cell r="D1386">
            <v>3468.35</v>
          </cell>
          <cell r="E1386">
            <v>3484.55</v>
          </cell>
          <cell r="F1386">
            <v>3484.55</v>
          </cell>
        </row>
        <row r="1387">
          <cell r="A1387">
            <v>44071</v>
          </cell>
          <cell r="B1387">
            <v>3494.69</v>
          </cell>
          <cell r="C1387">
            <v>3509.23</v>
          </cell>
          <cell r="D1387">
            <v>3484.32</v>
          </cell>
          <cell r="E1387">
            <v>3508.01</v>
          </cell>
          <cell r="F1387">
            <v>3508.01</v>
          </cell>
        </row>
        <row r="1388">
          <cell r="A1388">
            <v>44074</v>
          </cell>
          <cell r="B1388">
            <v>3509.73</v>
          </cell>
          <cell r="C1388">
            <v>3514.77</v>
          </cell>
          <cell r="D1388">
            <v>3493.25</v>
          </cell>
          <cell r="E1388">
            <v>3500.31</v>
          </cell>
          <cell r="F1388">
            <v>3500.31</v>
          </cell>
        </row>
        <row r="1389">
          <cell r="A1389">
            <v>44075</v>
          </cell>
          <cell r="B1389">
            <v>3507.44</v>
          </cell>
          <cell r="C1389">
            <v>3528.03</v>
          </cell>
          <cell r="D1389">
            <v>3494.6</v>
          </cell>
          <cell r="E1389">
            <v>3526.65</v>
          </cell>
          <cell r="F1389">
            <v>3526.65</v>
          </cell>
        </row>
        <row r="1390">
          <cell r="A1390">
            <v>44076</v>
          </cell>
          <cell r="B1390">
            <v>3543.76</v>
          </cell>
          <cell r="C1390">
            <v>3588.11</v>
          </cell>
          <cell r="D1390">
            <v>3535.23</v>
          </cell>
          <cell r="E1390">
            <v>3580.84</v>
          </cell>
          <cell r="F1390">
            <v>3580.84</v>
          </cell>
        </row>
        <row r="1391">
          <cell r="A1391">
            <v>44077</v>
          </cell>
          <cell r="B1391">
            <v>3564.74</v>
          </cell>
          <cell r="C1391">
            <v>3564.85</v>
          </cell>
          <cell r="D1391">
            <v>3427.41</v>
          </cell>
          <cell r="E1391">
            <v>3455.06</v>
          </cell>
          <cell r="F1391">
            <v>3455.06</v>
          </cell>
        </row>
        <row r="1392">
          <cell r="A1392">
            <v>44078</v>
          </cell>
          <cell r="B1392">
            <v>3453.6</v>
          </cell>
          <cell r="C1392">
            <v>3479.15</v>
          </cell>
          <cell r="D1392">
            <v>3349.63</v>
          </cell>
          <cell r="E1392">
            <v>3426.96</v>
          </cell>
          <cell r="F1392">
            <v>3426.96</v>
          </cell>
        </row>
        <row r="1393">
          <cell r="A1393">
            <v>44082</v>
          </cell>
          <cell r="B1393">
            <v>3371.88</v>
          </cell>
          <cell r="C1393">
            <v>3379.97</v>
          </cell>
          <cell r="D1393">
            <v>3329.27</v>
          </cell>
          <cell r="E1393">
            <v>3331.84</v>
          </cell>
          <cell r="F1393">
            <v>3331.84</v>
          </cell>
        </row>
        <row r="1394">
          <cell r="A1394">
            <v>44083</v>
          </cell>
          <cell r="B1394">
            <v>3369.82</v>
          </cell>
          <cell r="C1394">
            <v>3424.77</v>
          </cell>
          <cell r="D1394">
            <v>3366.84</v>
          </cell>
          <cell r="E1394">
            <v>3398.96</v>
          </cell>
          <cell r="F1394">
            <v>3398.96</v>
          </cell>
        </row>
        <row r="1395">
          <cell r="A1395">
            <v>44084</v>
          </cell>
          <cell r="B1395">
            <v>3412.56</v>
          </cell>
          <cell r="C1395">
            <v>3425.55</v>
          </cell>
          <cell r="D1395">
            <v>3329.25</v>
          </cell>
          <cell r="E1395">
            <v>3339.19</v>
          </cell>
          <cell r="F1395">
            <v>3339.19</v>
          </cell>
        </row>
        <row r="1396">
          <cell r="A1396">
            <v>44085</v>
          </cell>
          <cell r="B1396">
            <v>3352.7</v>
          </cell>
          <cell r="C1396">
            <v>3368.95</v>
          </cell>
          <cell r="D1396">
            <v>3310.47</v>
          </cell>
          <cell r="E1396">
            <v>3340.97</v>
          </cell>
          <cell r="F1396">
            <v>3340.97</v>
          </cell>
        </row>
        <row r="1397">
          <cell r="A1397">
            <v>44088</v>
          </cell>
          <cell r="B1397">
            <v>3363.56</v>
          </cell>
          <cell r="C1397">
            <v>3402.93</v>
          </cell>
          <cell r="D1397">
            <v>3363.56</v>
          </cell>
          <cell r="E1397">
            <v>3383.54</v>
          </cell>
          <cell r="F1397">
            <v>3383.54</v>
          </cell>
        </row>
        <row r="1398">
          <cell r="A1398">
            <v>44089</v>
          </cell>
          <cell r="B1398">
            <v>3407.73</v>
          </cell>
          <cell r="C1398">
            <v>3419.48</v>
          </cell>
          <cell r="D1398">
            <v>3389.25</v>
          </cell>
          <cell r="E1398">
            <v>3401.2</v>
          </cell>
          <cell r="F1398">
            <v>3401.2</v>
          </cell>
        </row>
        <row r="1399">
          <cell r="A1399">
            <v>44090</v>
          </cell>
          <cell r="B1399">
            <v>3411.23</v>
          </cell>
          <cell r="C1399">
            <v>3428.92</v>
          </cell>
          <cell r="D1399">
            <v>3384.45</v>
          </cell>
          <cell r="E1399">
            <v>3385.49</v>
          </cell>
          <cell r="F1399">
            <v>3385.49</v>
          </cell>
        </row>
        <row r="1400">
          <cell r="A1400">
            <v>44091</v>
          </cell>
          <cell r="B1400">
            <v>3346.86</v>
          </cell>
          <cell r="C1400">
            <v>3375.17</v>
          </cell>
          <cell r="D1400">
            <v>3328.82</v>
          </cell>
          <cell r="E1400">
            <v>3357.01</v>
          </cell>
          <cell r="F1400">
            <v>3357.01</v>
          </cell>
        </row>
        <row r="1401">
          <cell r="A1401">
            <v>44092</v>
          </cell>
          <cell r="B1401">
            <v>3357.38</v>
          </cell>
          <cell r="C1401">
            <v>3362.27</v>
          </cell>
          <cell r="D1401">
            <v>3292.4</v>
          </cell>
          <cell r="E1401">
            <v>3319.47</v>
          </cell>
          <cell r="F1401">
            <v>3319.47</v>
          </cell>
        </row>
        <row r="1402">
          <cell r="A1402">
            <v>44095</v>
          </cell>
          <cell r="B1402">
            <v>3285.57</v>
          </cell>
          <cell r="C1402">
            <v>3285.57</v>
          </cell>
          <cell r="D1402">
            <v>3229.1</v>
          </cell>
          <cell r="E1402">
            <v>3281.06</v>
          </cell>
          <cell r="F1402">
            <v>3281.06</v>
          </cell>
        </row>
        <row r="1403">
          <cell r="A1403">
            <v>44096</v>
          </cell>
          <cell r="B1403">
            <v>3295.75</v>
          </cell>
          <cell r="C1403">
            <v>3320.31</v>
          </cell>
          <cell r="D1403">
            <v>3270.95</v>
          </cell>
          <cell r="E1403">
            <v>3315.57</v>
          </cell>
          <cell r="F1403">
            <v>3315.57</v>
          </cell>
        </row>
        <row r="1404">
          <cell r="A1404">
            <v>44097</v>
          </cell>
          <cell r="B1404">
            <v>3320.11</v>
          </cell>
          <cell r="C1404">
            <v>3323.35</v>
          </cell>
          <cell r="D1404">
            <v>3232.57</v>
          </cell>
          <cell r="E1404">
            <v>3236.92</v>
          </cell>
          <cell r="F1404">
            <v>3236.92</v>
          </cell>
        </row>
        <row r="1405">
          <cell r="A1405">
            <v>44098</v>
          </cell>
          <cell r="B1405">
            <v>3226.14</v>
          </cell>
          <cell r="C1405">
            <v>3278.7</v>
          </cell>
          <cell r="D1405">
            <v>3209.45</v>
          </cell>
          <cell r="E1405">
            <v>3246.59</v>
          </cell>
          <cell r="F1405">
            <v>3246.59</v>
          </cell>
        </row>
        <row r="1406">
          <cell r="A1406">
            <v>44099</v>
          </cell>
          <cell r="B1406">
            <v>3236.66</v>
          </cell>
          <cell r="C1406">
            <v>3306.88</v>
          </cell>
          <cell r="D1406">
            <v>3228.44</v>
          </cell>
          <cell r="E1406">
            <v>3298.46</v>
          </cell>
          <cell r="F1406">
            <v>3298.46</v>
          </cell>
        </row>
        <row r="1407">
          <cell r="A1407">
            <v>44102</v>
          </cell>
          <cell r="B1407">
            <v>3333.9</v>
          </cell>
          <cell r="C1407">
            <v>3360.74</v>
          </cell>
          <cell r="D1407">
            <v>3332.91</v>
          </cell>
          <cell r="E1407">
            <v>3351.6</v>
          </cell>
          <cell r="F1407">
            <v>3351.6</v>
          </cell>
        </row>
        <row r="1408">
          <cell r="A1408">
            <v>44103</v>
          </cell>
          <cell r="B1408">
            <v>3350.92</v>
          </cell>
          <cell r="C1408">
            <v>3357.92</v>
          </cell>
          <cell r="D1408">
            <v>3327.54</v>
          </cell>
          <cell r="E1408">
            <v>3335.47</v>
          </cell>
          <cell r="F1408">
            <v>3335.47</v>
          </cell>
        </row>
        <row r="1409">
          <cell r="A1409">
            <v>44104</v>
          </cell>
          <cell r="B1409">
            <v>3341.21</v>
          </cell>
          <cell r="C1409">
            <v>3393.56</v>
          </cell>
          <cell r="D1409">
            <v>3340.47</v>
          </cell>
          <cell r="E1409">
            <v>3363</v>
          </cell>
          <cell r="F1409">
            <v>3363</v>
          </cell>
        </row>
        <row r="1410">
          <cell r="A1410">
            <v>44105</v>
          </cell>
          <cell r="B1410">
            <v>3385.87</v>
          </cell>
          <cell r="C1410">
            <v>3397.18</v>
          </cell>
          <cell r="D1410">
            <v>3361.39</v>
          </cell>
          <cell r="E1410">
            <v>3380.8</v>
          </cell>
          <cell r="F1410">
            <v>3380.8</v>
          </cell>
        </row>
        <row r="1411">
          <cell r="A1411">
            <v>44106</v>
          </cell>
          <cell r="B1411">
            <v>3338.94</v>
          </cell>
          <cell r="C1411">
            <v>3369.1</v>
          </cell>
          <cell r="D1411">
            <v>3323.69</v>
          </cell>
          <cell r="E1411">
            <v>3348.42</v>
          </cell>
          <cell r="F1411">
            <v>3348.42</v>
          </cell>
        </row>
        <row r="1412">
          <cell r="A1412">
            <v>44109</v>
          </cell>
          <cell r="B1412">
            <v>3367.27</v>
          </cell>
          <cell r="C1412">
            <v>3409.57</v>
          </cell>
          <cell r="D1412">
            <v>3367.27</v>
          </cell>
          <cell r="E1412">
            <v>3408.6</v>
          </cell>
          <cell r="F1412">
            <v>3408.6</v>
          </cell>
        </row>
        <row r="1413">
          <cell r="A1413">
            <v>44110</v>
          </cell>
          <cell r="B1413">
            <v>3408.74</v>
          </cell>
          <cell r="C1413">
            <v>3431.56</v>
          </cell>
          <cell r="D1413">
            <v>3354.54</v>
          </cell>
          <cell r="E1413">
            <v>3360.97</v>
          </cell>
          <cell r="F1413">
            <v>3360.97</v>
          </cell>
        </row>
        <row r="1414">
          <cell r="A1414">
            <v>44111</v>
          </cell>
          <cell r="B1414">
            <v>3384.56</v>
          </cell>
          <cell r="C1414">
            <v>3426.26</v>
          </cell>
          <cell r="D1414">
            <v>3384.56</v>
          </cell>
          <cell r="E1414">
            <v>3419.44</v>
          </cell>
          <cell r="F1414">
            <v>3419.44</v>
          </cell>
        </row>
        <row r="1415">
          <cell r="A1415">
            <v>44112</v>
          </cell>
          <cell r="B1415">
            <v>3434.28</v>
          </cell>
          <cell r="C1415">
            <v>3447.28</v>
          </cell>
          <cell r="D1415">
            <v>3428.15</v>
          </cell>
          <cell r="E1415">
            <v>3446.83</v>
          </cell>
          <cell r="F1415">
            <v>3446.83</v>
          </cell>
        </row>
        <row r="1416">
          <cell r="A1416">
            <v>44113</v>
          </cell>
          <cell r="B1416">
            <v>3459.67</v>
          </cell>
          <cell r="C1416">
            <v>3482.34</v>
          </cell>
          <cell r="D1416">
            <v>3458.07</v>
          </cell>
          <cell r="E1416">
            <v>3477.14</v>
          </cell>
          <cell r="F1416">
            <v>3477.14</v>
          </cell>
        </row>
        <row r="1417">
          <cell r="A1417">
            <v>44116</v>
          </cell>
          <cell r="B1417">
            <v>3500.02</v>
          </cell>
          <cell r="C1417">
            <v>3549.85</v>
          </cell>
          <cell r="D1417">
            <v>3499.61</v>
          </cell>
          <cell r="E1417">
            <v>3534.22</v>
          </cell>
          <cell r="F1417">
            <v>3534.22</v>
          </cell>
        </row>
        <row r="1418">
          <cell r="A1418">
            <v>44117</v>
          </cell>
          <cell r="B1418">
            <v>3534.01</v>
          </cell>
          <cell r="C1418">
            <v>3534.01</v>
          </cell>
          <cell r="D1418">
            <v>3500.86</v>
          </cell>
          <cell r="E1418">
            <v>3511.93</v>
          </cell>
          <cell r="F1418">
            <v>3511.93</v>
          </cell>
        </row>
        <row r="1419">
          <cell r="A1419">
            <v>44118</v>
          </cell>
          <cell r="B1419">
            <v>3515.47</v>
          </cell>
          <cell r="C1419">
            <v>3527.94</v>
          </cell>
          <cell r="D1419">
            <v>3480.55</v>
          </cell>
          <cell r="E1419">
            <v>3488.67</v>
          </cell>
          <cell r="F1419">
            <v>3488.67</v>
          </cell>
        </row>
        <row r="1420">
          <cell r="A1420">
            <v>44119</v>
          </cell>
          <cell r="B1420">
            <v>3453.72</v>
          </cell>
          <cell r="C1420">
            <v>3489.08</v>
          </cell>
          <cell r="D1420">
            <v>3440.89</v>
          </cell>
          <cell r="E1420">
            <v>3483.34</v>
          </cell>
          <cell r="F1420">
            <v>3483.34</v>
          </cell>
        </row>
        <row r="1421">
          <cell r="A1421">
            <v>44120</v>
          </cell>
          <cell r="B1421">
            <v>3493.5</v>
          </cell>
          <cell r="C1421">
            <v>3515.76</v>
          </cell>
          <cell r="D1421">
            <v>3480.45</v>
          </cell>
          <cell r="E1421">
            <v>3483.81</v>
          </cell>
          <cell r="F1421">
            <v>3483.81</v>
          </cell>
        </row>
        <row r="1422">
          <cell r="A1422">
            <v>44123</v>
          </cell>
          <cell r="B1422">
            <v>3493.66</v>
          </cell>
          <cell r="C1422">
            <v>3502.42</v>
          </cell>
          <cell r="D1422">
            <v>3419.93</v>
          </cell>
          <cell r="E1422">
            <v>3426.92</v>
          </cell>
          <cell r="F1422">
            <v>3426.92</v>
          </cell>
        </row>
        <row r="1423">
          <cell r="A1423">
            <v>44124</v>
          </cell>
          <cell r="B1423">
            <v>3439.38</v>
          </cell>
          <cell r="C1423">
            <v>3476.93</v>
          </cell>
          <cell r="D1423">
            <v>3435.65</v>
          </cell>
          <cell r="E1423">
            <v>3443.12</v>
          </cell>
          <cell r="F1423">
            <v>3443.12</v>
          </cell>
        </row>
        <row r="1424">
          <cell r="A1424">
            <v>44125</v>
          </cell>
          <cell r="B1424">
            <v>3439.91</v>
          </cell>
          <cell r="C1424">
            <v>3464.86</v>
          </cell>
          <cell r="D1424">
            <v>3433.06</v>
          </cell>
          <cell r="E1424">
            <v>3435.56</v>
          </cell>
          <cell r="F1424">
            <v>3435.56</v>
          </cell>
        </row>
        <row r="1425">
          <cell r="A1425">
            <v>44126</v>
          </cell>
          <cell r="B1425">
            <v>3438.5</v>
          </cell>
          <cell r="C1425">
            <v>3460.53</v>
          </cell>
          <cell r="D1425">
            <v>3415.34</v>
          </cell>
          <cell r="E1425">
            <v>3453.49</v>
          </cell>
          <cell r="F1425">
            <v>3453.49</v>
          </cell>
        </row>
        <row r="1426">
          <cell r="A1426">
            <v>44127</v>
          </cell>
          <cell r="B1426">
            <v>3464.9</v>
          </cell>
          <cell r="C1426">
            <v>3466.46</v>
          </cell>
          <cell r="D1426">
            <v>3440.45</v>
          </cell>
          <cell r="E1426">
            <v>3465.39</v>
          </cell>
          <cell r="F1426">
            <v>3465.39</v>
          </cell>
        </row>
        <row r="1427">
          <cell r="A1427">
            <v>44130</v>
          </cell>
          <cell r="B1427">
            <v>3441.42</v>
          </cell>
          <cell r="C1427">
            <v>3441.42</v>
          </cell>
          <cell r="D1427">
            <v>3364.86</v>
          </cell>
          <cell r="E1427">
            <v>3400.97</v>
          </cell>
          <cell r="F1427">
            <v>3400.97</v>
          </cell>
        </row>
        <row r="1428">
          <cell r="A1428">
            <v>44131</v>
          </cell>
          <cell r="B1428">
            <v>3403.15</v>
          </cell>
          <cell r="C1428">
            <v>3409.51</v>
          </cell>
          <cell r="D1428">
            <v>3388.71</v>
          </cell>
          <cell r="E1428">
            <v>3390.68</v>
          </cell>
          <cell r="F1428">
            <v>3390.68</v>
          </cell>
        </row>
        <row r="1429">
          <cell r="A1429">
            <v>44132</v>
          </cell>
          <cell r="B1429">
            <v>3342.48</v>
          </cell>
          <cell r="C1429">
            <v>3342.48</v>
          </cell>
          <cell r="D1429">
            <v>3268.89</v>
          </cell>
          <cell r="E1429">
            <v>3271.03</v>
          </cell>
          <cell r="F1429">
            <v>3271.03</v>
          </cell>
        </row>
        <row r="1430">
          <cell r="A1430">
            <v>44133</v>
          </cell>
          <cell r="B1430">
            <v>3277.17</v>
          </cell>
          <cell r="C1430">
            <v>3341.05</v>
          </cell>
          <cell r="D1430">
            <v>3259.82</v>
          </cell>
          <cell r="E1430">
            <v>3310.11</v>
          </cell>
          <cell r="F1430">
            <v>3310.11</v>
          </cell>
        </row>
        <row r="1431">
          <cell r="A1431">
            <v>44134</v>
          </cell>
          <cell r="B1431">
            <v>3293.59</v>
          </cell>
          <cell r="C1431">
            <v>3304.93</v>
          </cell>
          <cell r="D1431">
            <v>3233.94</v>
          </cell>
          <cell r="E1431">
            <v>3269.96</v>
          </cell>
          <cell r="F1431">
            <v>3269.96</v>
          </cell>
        </row>
        <row r="1432">
          <cell r="A1432">
            <v>44137</v>
          </cell>
          <cell r="B1432">
            <v>3296.2</v>
          </cell>
          <cell r="C1432">
            <v>3330.14</v>
          </cell>
          <cell r="D1432">
            <v>3279.74</v>
          </cell>
          <cell r="E1432">
            <v>3310.24</v>
          </cell>
          <cell r="F1432">
            <v>3310.24</v>
          </cell>
        </row>
        <row r="1433">
          <cell r="A1433">
            <v>44138</v>
          </cell>
          <cell r="B1433">
            <v>3336.25</v>
          </cell>
          <cell r="C1433">
            <v>3389.49</v>
          </cell>
          <cell r="D1433">
            <v>3336.25</v>
          </cell>
          <cell r="E1433">
            <v>3369.16</v>
          </cell>
          <cell r="F1433">
            <v>3369.16</v>
          </cell>
        </row>
        <row r="1434">
          <cell r="A1434">
            <v>44139</v>
          </cell>
          <cell r="B1434">
            <v>3406.46</v>
          </cell>
          <cell r="C1434">
            <v>3486.25</v>
          </cell>
          <cell r="D1434">
            <v>3405.17</v>
          </cell>
          <cell r="E1434">
            <v>3443.44</v>
          </cell>
          <cell r="F1434">
            <v>3443.44</v>
          </cell>
        </row>
        <row r="1435">
          <cell r="A1435">
            <v>44140</v>
          </cell>
          <cell r="B1435">
            <v>3485.74</v>
          </cell>
          <cell r="C1435">
            <v>3529.05</v>
          </cell>
          <cell r="D1435">
            <v>3485.74</v>
          </cell>
          <cell r="E1435">
            <v>3510.45</v>
          </cell>
          <cell r="F1435">
            <v>3510.45</v>
          </cell>
        </row>
        <row r="1436">
          <cell r="A1436">
            <v>44141</v>
          </cell>
          <cell r="B1436">
            <v>3508.34</v>
          </cell>
          <cell r="C1436">
            <v>3521.58</v>
          </cell>
          <cell r="D1436">
            <v>3484.34</v>
          </cell>
          <cell r="E1436">
            <v>3509.44</v>
          </cell>
          <cell r="F1436">
            <v>3509.44</v>
          </cell>
        </row>
        <row r="1437">
          <cell r="A1437">
            <v>44144</v>
          </cell>
          <cell r="B1437">
            <v>3583.04</v>
          </cell>
          <cell r="C1437">
            <v>3645.99</v>
          </cell>
          <cell r="D1437">
            <v>3547.48</v>
          </cell>
          <cell r="E1437">
            <v>3550.5</v>
          </cell>
          <cell r="F1437">
            <v>3550.5</v>
          </cell>
        </row>
        <row r="1438">
          <cell r="A1438">
            <v>44145</v>
          </cell>
          <cell r="B1438">
            <v>3543.26</v>
          </cell>
          <cell r="C1438">
            <v>3557.22</v>
          </cell>
          <cell r="D1438">
            <v>3511.91</v>
          </cell>
          <cell r="E1438">
            <v>3545.53</v>
          </cell>
          <cell r="F1438">
            <v>3545.53</v>
          </cell>
        </row>
        <row r="1439">
          <cell r="A1439">
            <v>44146</v>
          </cell>
          <cell r="B1439">
            <v>3563.22</v>
          </cell>
          <cell r="C1439">
            <v>3581.16</v>
          </cell>
          <cell r="D1439">
            <v>3557</v>
          </cell>
          <cell r="E1439">
            <v>3572.66</v>
          </cell>
          <cell r="F1439">
            <v>3572.66</v>
          </cell>
        </row>
        <row r="1440">
          <cell r="A1440">
            <v>44147</v>
          </cell>
          <cell r="B1440">
            <v>3562.67</v>
          </cell>
          <cell r="C1440">
            <v>3569.02</v>
          </cell>
          <cell r="D1440">
            <v>3518.58</v>
          </cell>
          <cell r="E1440">
            <v>3537.01</v>
          </cell>
          <cell r="F1440">
            <v>3537.01</v>
          </cell>
        </row>
        <row r="1441">
          <cell r="A1441">
            <v>44148</v>
          </cell>
          <cell r="B1441">
            <v>3552.57</v>
          </cell>
          <cell r="C1441">
            <v>3593.66</v>
          </cell>
          <cell r="D1441">
            <v>3552.57</v>
          </cell>
          <cell r="E1441">
            <v>3585.15</v>
          </cell>
          <cell r="F1441">
            <v>3585.15</v>
          </cell>
        </row>
        <row r="1442">
          <cell r="A1442">
            <v>44151</v>
          </cell>
          <cell r="B1442">
            <v>3600.16</v>
          </cell>
          <cell r="C1442">
            <v>3628.51</v>
          </cell>
          <cell r="D1442">
            <v>3600.16</v>
          </cell>
          <cell r="E1442">
            <v>3626.91</v>
          </cell>
          <cell r="F1442">
            <v>3626.91</v>
          </cell>
        </row>
        <row r="1443">
          <cell r="A1443">
            <v>44152</v>
          </cell>
          <cell r="B1443">
            <v>3610.31</v>
          </cell>
          <cell r="C1443">
            <v>3623.11</v>
          </cell>
          <cell r="D1443">
            <v>3588.68</v>
          </cell>
          <cell r="E1443">
            <v>3609.53</v>
          </cell>
          <cell r="F1443">
            <v>3609.53</v>
          </cell>
        </row>
        <row r="1444">
          <cell r="A1444">
            <v>44153</v>
          </cell>
          <cell r="B1444">
            <v>3612.09</v>
          </cell>
          <cell r="C1444">
            <v>3619.09</v>
          </cell>
          <cell r="D1444">
            <v>3567.33</v>
          </cell>
          <cell r="E1444">
            <v>3567.79</v>
          </cell>
          <cell r="F1444">
            <v>3567.79</v>
          </cell>
        </row>
        <row r="1445">
          <cell r="A1445">
            <v>44154</v>
          </cell>
          <cell r="B1445">
            <v>3559.41</v>
          </cell>
          <cell r="C1445">
            <v>3585.22</v>
          </cell>
          <cell r="D1445">
            <v>3543.84</v>
          </cell>
          <cell r="E1445">
            <v>3581.87</v>
          </cell>
          <cell r="F1445">
            <v>3581.87</v>
          </cell>
        </row>
        <row r="1446">
          <cell r="A1446">
            <v>44155</v>
          </cell>
          <cell r="B1446">
            <v>3579.31</v>
          </cell>
          <cell r="C1446">
            <v>3581.23</v>
          </cell>
          <cell r="D1446">
            <v>3556.85</v>
          </cell>
          <cell r="E1446">
            <v>3557.54</v>
          </cell>
          <cell r="F1446">
            <v>3557.54</v>
          </cell>
        </row>
        <row r="1447">
          <cell r="A1447">
            <v>44158</v>
          </cell>
          <cell r="B1447">
            <v>3566.82</v>
          </cell>
          <cell r="C1447">
            <v>3589.81</v>
          </cell>
          <cell r="D1447">
            <v>3552.77</v>
          </cell>
          <cell r="E1447">
            <v>3577.59</v>
          </cell>
          <cell r="F1447">
            <v>3577.59</v>
          </cell>
        </row>
        <row r="1448">
          <cell r="A1448">
            <v>44159</v>
          </cell>
          <cell r="B1448">
            <v>3594.52</v>
          </cell>
          <cell r="C1448">
            <v>3642.31</v>
          </cell>
          <cell r="D1448">
            <v>3594.52</v>
          </cell>
          <cell r="E1448">
            <v>3635.41</v>
          </cell>
          <cell r="F1448">
            <v>3635.41</v>
          </cell>
        </row>
        <row r="1449">
          <cell r="A1449">
            <v>44160</v>
          </cell>
          <cell r="B1449">
            <v>3635.5</v>
          </cell>
          <cell r="C1449">
            <v>3635.5</v>
          </cell>
          <cell r="D1449">
            <v>3617.76</v>
          </cell>
          <cell r="E1449">
            <v>3629.65</v>
          </cell>
          <cell r="F1449">
            <v>3629.65</v>
          </cell>
        </row>
        <row r="1450">
          <cell r="A1450">
            <v>44162</v>
          </cell>
          <cell r="B1450">
            <v>3638.55</v>
          </cell>
          <cell r="C1450">
            <v>3644.31</v>
          </cell>
          <cell r="D1450">
            <v>3629.33</v>
          </cell>
          <cell r="E1450">
            <v>3638.35</v>
          </cell>
          <cell r="F1450">
            <v>3638.35</v>
          </cell>
        </row>
        <row r="1451">
          <cell r="A1451">
            <v>44165</v>
          </cell>
          <cell r="B1451">
            <v>3634.18</v>
          </cell>
          <cell r="C1451">
            <v>3634.18</v>
          </cell>
          <cell r="D1451">
            <v>3594.39</v>
          </cell>
          <cell r="E1451">
            <v>3621.63</v>
          </cell>
          <cell r="F1451">
            <v>3621.63</v>
          </cell>
        </row>
        <row r="1452">
          <cell r="A1452">
            <v>44166</v>
          </cell>
          <cell r="B1452">
            <v>3645.87</v>
          </cell>
          <cell r="C1452">
            <v>3678.45</v>
          </cell>
          <cell r="D1452">
            <v>3645.87</v>
          </cell>
          <cell r="E1452">
            <v>3662.45</v>
          </cell>
          <cell r="F1452">
            <v>3662.45</v>
          </cell>
        </row>
        <row r="1453">
          <cell r="A1453">
            <v>44167</v>
          </cell>
          <cell r="B1453">
            <v>3653.78</v>
          </cell>
          <cell r="C1453">
            <v>3670.96</v>
          </cell>
          <cell r="D1453">
            <v>3644.84</v>
          </cell>
          <cell r="E1453">
            <v>3669.01</v>
          </cell>
          <cell r="F1453">
            <v>3669.01</v>
          </cell>
        </row>
        <row r="1454">
          <cell r="A1454">
            <v>44168</v>
          </cell>
          <cell r="B1454">
            <v>3668.28</v>
          </cell>
          <cell r="C1454">
            <v>3682.73</v>
          </cell>
          <cell r="D1454">
            <v>3657.17</v>
          </cell>
          <cell r="E1454">
            <v>3666.72</v>
          </cell>
          <cell r="F1454">
            <v>3666.72</v>
          </cell>
        </row>
        <row r="1455">
          <cell r="A1455">
            <v>44169</v>
          </cell>
          <cell r="B1455">
            <v>3670.94</v>
          </cell>
          <cell r="C1455">
            <v>3699.2</v>
          </cell>
          <cell r="D1455">
            <v>3670.94</v>
          </cell>
          <cell r="E1455">
            <v>3699.12</v>
          </cell>
          <cell r="F1455">
            <v>3699.12</v>
          </cell>
        </row>
        <row r="1456">
          <cell r="A1456">
            <v>44172</v>
          </cell>
          <cell r="B1456">
            <v>3694.73</v>
          </cell>
          <cell r="C1456">
            <v>3697.41</v>
          </cell>
          <cell r="D1456">
            <v>3678.88</v>
          </cell>
          <cell r="E1456">
            <v>3691.96</v>
          </cell>
          <cell r="F1456">
            <v>3691.96</v>
          </cell>
        </row>
        <row r="1457">
          <cell r="A1457">
            <v>44173</v>
          </cell>
          <cell r="B1457">
            <v>3683.05</v>
          </cell>
          <cell r="C1457">
            <v>3708.45</v>
          </cell>
          <cell r="D1457">
            <v>3678.83</v>
          </cell>
          <cell r="E1457">
            <v>3702.25</v>
          </cell>
          <cell r="F1457">
            <v>3702.25</v>
          </cell>
        </row>
        <row r="1458">
          <cell r="A1458">
            <v>44174</v>
          </cell>
          <cell r="B1458">
            <v>3705.98</v>
          </cell>
          <cell r="C1458">
            <v>3712.39</v>
          </cell>
          <cell r="D1458">
            <v>3660.54</v>
          </cell>
          <cell r="E1458">
            <v>3672.82</v>
          </cell>
          <cell r="F1458">
            <v>3672.82</v>
          </cell>
        </row>
        <row r="1459">
          <cell r="A1459">
            <v>44175</v>
          </cell>
          <cell r="B1459">
            <v>3659.13</v>
          </cell>
          <cell r="C1459">
            <v>3678.49</v>
          </cell>
          <cell r="D1459">
            <v>3645.18</v>
          </cell>
          <cell r="E1459">
            <v>3668.1</v>
          </cell>
          <cell r="F1459">
            <v>3668.1</v>
          </cell>
        </row>
        <row r="1460">
          <cell r="A1460">
            <v>44176</v>
          </cell>
          <cell r="B1460">
            <v>3656.08</v>
          </cell>
          <cell r="C1460">
            <v>3665.91</v>
          </cell>
          <cell r="D1460">
            <v>3633.4</v>
          </cell>
          <cell r="E1460">
            <v>3663.46</v>
          </cell>
          <cell r="F1460">
            <v>3663.46</v>
          </cell>
        </row>
        <row r="1461">
          <cell r="A1461">
            <v>44179</v>
          </cell>
          <cell r="B1461">
            <v>3675.27</v>
          </cell>
          <cell r="C1461">
            <v>3697.61</v>
          </cell>
          <cell r="D1461">
            <v>3645.84</v>
          </cell>
          <cell r="E1461">
            <v>3647.49</v>
          </cell>
          <cell r="F1461">
            <v>3647.49</v>
          </cell>
        </row>
        <row r="1462">
          <cell r="A1462">
            <v>44180</v>
          </cell>
          <cell r="B1462">
            <v>3666.41</v>
          </cell>
          <cell r="C1462">
            <v>3695.29</v>
          </cell>
          <cell r="D1462">
            <v>3659.62</v>
          </cell>
          <cell r="E1462">
            <v>3694.62</v>
          </cell>
          <cell r="F1462">
            <v>3694.62</v>
          </cell>
        </row>
        <row r="1463">
          <cell r="A1463">
            <v>44181</v>
          </cell>
          <cell r="B1463">
            <v>3696.25</v>
          </cell>
          <cell r="C1463">
            <v>3711.27</v>
          </cell>
          <cell r="D1463">
            <v>3688.57</v>
          </cell>
          <cell r="E1463">
            <v>3701.17</v>
          </cell>
          <cell r="F1463">
            <v>3701.17</v>
          </cell>
        </row>
        <row r="1464">
          <cell r="A1464">
            <v>44182</v>
          </cell>
          <cell r="B1464">
            <v>3713.65</v>
          </cell>
          <cell r="C1464">
            <v>3725.12</v>
          </cell>
          <cell r="D1464">
            <v>3710.87</v>
          </cell>
          <cell r="E1464">
            <v>3722.48</v>
          </cell>
          <cell r="F1464">
            <v>3722.48</v>
          </cell>
        </row>
        <row r="1465">
          <cell r="A1465">
            <v>44183</v>
          </cell>
          <cell r="B1465">
            <v>3722.39</v>
          </cell>
          <cell r="C1465">
            <v>3726.7</v>
          </cell>
          <cell r="D1465">
            <v>3685.84</v>
          </cell>
          <cell r="E1465">
            <v>3709.41</v>
          </cell>
          <cell r="F1465">
            <v>3709.41</v>
          </cell>
        </row>
        <row r="1466">
          <cell r="A1466">
            <v>44186</v>
          </cell>
          <cell r="B1466">
            <v>3684.28</v>
          </cell>
          <cell r="C1466">
            <v>3702.9</v>
          </cell>
          <cell r="D1466">
            <v>3636.48</v>
          </cell>
          <cell r="E1466">
            <v>3694.92</v>
          </cell>
          <cell r="F1466">
            <v>3694.92</v>
          </cell>
        </row>
        <row r="1467">
          <cell r="A1467">
            <v>44187</v>
          </cell>
          <cell r="B1467">
            <v>3698.08</v>
          </cell>
          <cell r="C1467">
            <v>3698.26</v>
          </cell>
          <cell r="D1467">
            <v>3676.16</v>
          </cell>
          <cell r="E1467">
            <v>3687.26</v>
          </cell>
          <cell r="F1467">
            <v>3687.26</v>
          </cell>
        </row>
        <row r="1468">
          <cell r="A1468">
            <v>44188</v>
          </cell>
          <cell r="B1468">
            <v>3693.42</v>
          </cell>
          <cell r="C1468">
            <v>3711.24</v>
          </cell>
          <cell r="D1468">
            <v>3689.28</v>
          </cell>
          <cell r="E1468">
            <v>3690.01</v>
          </cell>
          <cell r="F1468">
            <v>3690.01</v>
          </cell>
        </row>
        <row r="1469">
          <cell r="A1469">
            <v>44189</v>
          </cell>
          <cell r="B1469">
            <v>3694.03</v>
          </cell>
          <cell r="C1469">
            <v>3703.82</v>
          </cell>
          <cell r="D1469">
            <v>3689.32</v>
          </cell>
          <cell r="E1469">
            <v>3703.06</v>
          </cell>
          <cell r="F1469">
            <v>3703.06</v>
          </cell>
        </row>
        <row r="1470">
          <cell r="A1470">
            <v>44193</v>
          </cell>
          <cell r="B1470">
            <v>3723.03</v>
          </cell>
          <cell r="C1470">
            <v>3740.51</v>
          </cell>
          <cell r="D1470">
            <v>3723.03</v>
          </cell>
          <cell r="E1470">
            <v>3735.36</v>
          </cell>
          <cell r="F1470">
            <v>3735.36</v>
          </cell>
        </row>
        <row r="1471">
          <cell r="A1471">
            <v>44194</v>
          </cell>
          <cell r="B1471">
            <v>3750.01</v>
          </cell>
          <cell r="C1471">
            <v>3756.12</v>
          </cell>
          <cell r="D1471">
            <v>3723.31</v>
          </cell>
          <cell r="E1471">
            <v>3727.04</v>
          </cell>
          <cell r="F1471">
            <v>3727.04</v>
          </cell>
        </row>
        <row r="1472">
          <cell r="A1472">
            <v>44195</v>
          </cell>
          <cell r="B1472">
            <v>3736.19</v>
          </cell>
          <cell r="C1472">
            <v>3744.63</v>
          </cell>
          <cell r="D1472">
            <v>3730.21</v>
          </cell>
          <cell r="E1472">
            <v>3732.04</v>
          </cell>
          <cell r="F1472">
            <v>3732.04</v>
          </cell>
        </row>
        <row r="1473">
          <cell r="A1473">
            <v>44196</v>
          </cell>
          <cell r="B1473">
            <v>3733.27</v>
          </cell>
          <cell r="C1473">
            <v>3760.2</v>
          </cell>
          <cell r="D1473">
            <v>3726.88</v>
          </cell>
          <cell r="E1473">
            <v>3756.07</v>
          </cell>
          <cell r="F1473">
            <v>3756.07</v>
          </cell>
        </row>
        <row r="1474">
          <cell r="A1474">
            <v>44200</v>
          </cell>
          <cell r="B1474">
            <v>3764.61</v>
          </cell>
          <cell r="C1474">
            <v>3769.99</v>
          </cell>
          <cell r="D1474">
            <v>3662.71</v>
          </cell>
          <cell r="E1474">
            <v>3700.65</v>
          </cell>
          <cell r="F1474">
            <v>3700.65</v>
          </cell>
        </row>
        <row r="1475">
          <cell r="A1475">
            <v>44201</v>
          </cell>
          <cell r="B1475">
            <v>3698.02</v>
          </cell>
          <cell r="C1475">
            <v>3737.83</v>
          </cell>
          <cell r="D1475">
            <v>3695.07</v>
          </cell>
          <cell r="E1475">
            <v>3726.86</v>
          </cell>
          <cell r="F1475">
            <v>3726.86</v>
          </cell>
        </row>
        <row r="1476">
          <cell r="A1476">
            <v>44202</v>
          </cell>
          <cell r="B1476">
            <v>3712.2</v>
          </cell>
          <cell r="C1476">
            <v>3783.04</v>
          </cell>
          <cell r="D1476">
            <v>3705.34</v>
          </cell>
          <cell r="E1476">
            <v>3748.14</v>
          </cell>
          <cell r="F1476">
            <v>3748.14</v>
          </cell>
        </row>
        <row r="1477">
          <cell r="A1477">
            <v>44203</v>
          </cell>
          <cell r="B1477">
            <v>3764.71</v>
          </cell>
          <cell r="C1477">
            <v>3811.55</v>
          </cell>
          <cell r="D1477">
            <v>3764.71</v>
          </cell>
          <cell r="E1477">
            <v>3803.79</v>
          </cell>
          <cell r="F1477">
            <v>3803.79</v>
          </cell>
        </row>
        <row r="1478">
          <cell r="A1478">
            <v>44204</v>
          </cell>
          <cell r="B1478">
            <v>3815.05</v>
          </cell>
          <cell r="C1478">
            <v>3826.69</v>
          </cell>
          <cell r="D1478">
            <v>3783.6</v>
          </cell>
          <cell r="E1478">
            <v>3824.68</v>
          </cell>
          <cell r="F1478">
            <v>3824.68</v>
          </cell>
        </row>
        <row r="1479">
          <cell r="A1479">
            <v>44207</v>
          </cell>
          <cell r="B1479">
            <v>3803.14</v>
          </cell>
          <cell r="C1479">
            <v>3817.86</v>
          </cell>
          <cell r="D1479">
            <v>3789.02</v>
          </cell>
          <cell r="E1479">
            <v>3799.61</v>
          </cell>
          <cell r="F1479">
            <v>3799.61</v>
          </cell>
        </row>
        <row r="1480">
          <cell r="A1480">
            <v>44208</v>
          </cell>
          <cell r="B1480">
            <v>3801.62</v>
          </cell>
          <cell r="C1480">
            <v>3810.78</v>
          </cell>
          <cell r="D1480">
            <v>3776.51</v>
          </cell>
          <cell r="E1480">
            <v>3801.19</v>
          </cell>
          <cell r="F1480">
            <v>3801.19</v>
          </cell>
        </row>
        <row r="1481">
          <cell r="A1481">
            <v>44209</v>
          </cell>
          <cell r="B1481">
            <v>3802.23</v>
          </cell>
          <cell r="C1481">
            <v>3820.96</v>
          </cell>
          <cell r="D1481">
            <v>3791.5</v>
          </cell>
          <cell r="E1481">
            <v>3809.84</v>
          </cell>
          <cell r="F1481">
            <v>3809.84</v>
          </cell>
        </row>
        <row r="1482">
          <cell r="A1482">
            <v>44210</v>
          </cell>
          <cell r="B1482">
            <v>3814.98</v>
          </cell>
          <cell r="C1482">
            <v>3823.6</v>
          </cell>
          <cell r="D1482">
            <v>3792.86</v>
          </cell>
          <cell r="E1482">
            <v>3795.54</v>
          </cell>
          <cell r="F1482">
            <v>3795.54</v>
          </cell>
        </row>
        <row r="1483">
          <cell r="A1483">
            <v>44211</v>
          </cell>
          <cell r="B1483">
            <v>3788.73</v>
          </cell>
          <cell r="C1483">
            <v>3788.73</v>
          </cell>
          <cell r="D1483">
            <v>3749.62</v>
          </cell>
          <cell r="E1483">
            <v>3768.25</v>
          </cell>
          <cell r="F1483">
            <v>3768.25</v>
          </cell>
        </row>
        <row r="1484">
          <cell r="A1484">
            <v>44215</v>
          </cell>
          <cell r="B1484">
            <v>3781.88</v>
          </cell>
          <cell r="C1484">
            <v>3804.53</v>
          </cell>
          <cell r="D1484">
            <v>3780.37</v>
          </cell>
          <cell r="E1484">
            <v>3798.91</v>
          </cell>
          <cell r="F1484">
            <v>3798.91</v>
          </cell>
        </row>
        <row r="1485">
          <cell r="A1485">
            <v>44216</v>
          </cell>
          <cell r="B1485">
            <v>3816.22</v>
          </cell>
          <cell r="C1485">
            <v>3859.75</v>
          </cell>
          <cell r="D1485">
            <v>3816.22</v>
          </cell>
          <cell r="E1485">
            <v>3851.85</v>
          </cell>
          <cell r="F1485">
            <v>3851.85</v>
          </cell>
        </row>
        <row r="1486">
          <cell r="A1486">
            <v>44217</v>
          </cell>
          <cell r="B1486">
            <v>3857.46</v>
          </cell>
          <cell r="C1486">
            <v>3861.45</v>
          </cell>
          <cell r="D1486">
            <v>3845.05</v>
          </cell>
          <cell r="E1486">
            <v>3853.07</v>
          </cell>
          <cell r="F1486">
            <v>3853.07</v>
          </cell>
        </row>
        <row r="1487">
          <cell r="A1487">
            <v>44218</v>
          </cell>
          <cell r="B1487">
            <v>3844.24</v>
          </cell>
          <cell r="C1487">
            <v>3852.31</v>
          </cell>
          <cell r="D1487">
            <v>3830.41</v>
          </cell>
          <cell r="E1487">
            <v>3841.47</v>
          </cell>
          <cell r="F1487">
            <v>3841.47</v>
          </cell>
        </row>
        <row r="1488">
          <cell r="A1488">
            <v>44221</v>
          </cell>
          <cell r="B1488">
            <v>3851.68</v>
          </cell>
          <cell r="C1488">
            <v>3859.23</v>
          </cell>
          <cell r="D1488">
            <v>3797.16</v>
          </cell>
          <cell r="E1488">
            <v>3855.36</v>
          </cell>
          <cell r="F1488">
            <v>3855.36</v>
          </cell>
        </row>
        <row r="1489">
          <cell r="A1489">
            <v>44222</v>
          </cell>
          <cell r="B1489">
            <v>3862.96</v>
          </cell>
          <cell r="C1489">
            <v>3870.9</v>
          </cell>
          <cell r="D1489">
            <v>3847.78</v>
          </cell>
          <cell r="E1489">
            <v>3849.62</v>
          </cell>
          <cell r="F1489">
            <v>3849.62</v>
          </cell>
        </row>
        <row r="1490">
          <cell r="A1490">
            <v>44223</v>
          </cell>
          <cell r="B1490">
            <v>3836.83</v>
          </cell>
          <cell r="C1490">
            <v>3836.83</v>
          </cell>
          <cell r="D1490">
            <v>3732.48</v>
          </cell>
          <cell r="E1490">
            <v>3750.77</v>
          </cell>
          <cell r="F1490">
            <v>3750.77</v>
          </cell>
        </row>
        <row r="1491">
          <cell r="A1491">
            <v>44224</v>
          </cell>
          <cell r="B1491">
            <v>3755.75</v>
          </cell>
          <cell r="C1491">
            <v>3830.5</v>
          </cell>
          <cell r="D1491">
            <v>3755.75</v>
          </cell>
          <cell r="E1491">
            <v>3787.38</v>
          </cell>
          <cell r="F1491">
            <v>3787.38</v>
          </cell>
        </row>
        <row r="1492">
          <cell r="A1492">
            <v>44225</v>
          </cell>
          <cell r="B1492">
            <v>3778.05</v>
          </cell>
          <cell r="C1492">
            <v>3778.05</v>
          </cell>
          <cell r="D1492">
            <v>3694.12</v>
          </cell>
          <cell r="E1492">
            <v>3714.24</v>
          </cell>
          <cell r="F1492">
            <v>3714.24</v>
          </cell>
        </row>
        <row r="1493">
          <cell r="A1493">
            <v>44228</v>
          </cell>
          <cell r="B1493">
            <v>3731.17</v>
          </cell>
          <cell r="C1493">
            <v>3784.32</v>
          </cell>
          <cell r="D1493">
            <v>3725.62</v>
          </cell>
          <cell r="E1493">
            <v>3773.86</v>
          </cell>
          <cell r="F1493">
            <v>3773.86</v>
          </cell>
        </row>
        <row r="1494">
          <cell r="A1494">
            <v>44229</v>
          </cell>
          <cell r="B1494">
            <v>3791.84</v>
          </cell>
          <cell r="C1494">
            <v>3843.09</v>
          </cell>
          <cell r="D1494">
            <v>3791.84</v>
          </cell>
          <cell r="E1494">
            <v>3826.31</v>
          </cell>
          <cell r="F1494">
            <v>3826.31</v>
          </cell>
        </row>
        <row r="1495">
          <cell r="A1495">
            <v>44230</v>
          </cell>
          <cell r="B1495">
            <v>3840.27</v>
          </cell>
          <cell r="C1495">
            <v>3847.51</v>
          </cell>
          <cell r="D1495">
            <v>3816.68</v>
          </cell>
          <cell r="E1495">
            <v>3830.17</v>
          </cell>
          <cell r="F1495">
            <v>3830.17</v>
          </cell>
        </row>
        <row r="1496">
          <cell r="A1496">
            <v>44231</v>
          </cell>
          <cell r="B1496">
            <v>3836.66</v>
          </cell>
          <cell r="C1496">
            <v>3872.42</v>
          </cell>
          <cell r="D1496">
            <v>3836.66</v>
          </cell>
          <cell r="E1496">
            <v>3871.74</v>
          </cell>
          <cell r="F1496">
            <v>3871.74</v>
          </cell>
        </row>
        <row r="1497">
          <cell r="A1497">
            <v>44232</v>
          </cell>
          <cell r="B1497">
            <v>3878.3</v>
          </cell>
          <cell r="C1497">
            <v>3894.56</v>
          </cell>
          <cell r="D1497">
            <v>3874.93</v>
          </cell>
          <cell r="E1497">
            <v>3886.83</v>
          </cell>
          <cell r="F1497">
            <v>3886.83</v>
          </cell>
        </row>
        <row r="1498">
          <cell r="A1498">
            <v>44235</v>
          </cell>
          <cell r="B1498">
            <v>3892.59</v>
          </cell>
          <cell r="C1498">
            <v>3915.77</v>
          </cell>
          <cell r="D1498">
            <v>3892.59</v>
          </cell>
          <cell r="E1498">
            <v>3915.59</v>
          </cell>
          <cell r="F1498">
            <v>3915.59</v>
          </cell>
        </row>
        <row r="1499">
          <cell r="A1499">
            <v>44236</v>
          </cell>
          <cell r="B1499">
            <v>3910.49</v>
          </cell>
          <cell r="C1499">
            <v>3918.35</v>
          </cell>
          <cell r="D1499">
            <v>3902.64</v>
          </cell>
          <cell r="E1499">
            <v>3911.23</v>
          </cell>
          <cell r="F1499">
            <v>3911.23</v>
          </cell>
        </row>
        <row r="1500">
          <cell r="A1500">
            <v>44237</v>
          </cell>
          <cell r="B1500">
            <v>3920.78</v>
          </cell>
          <cell r="C1500">
            <v>3931.5</v>
          </cell>
          <cell r="D1500">
            <v>3884.94</v>
          </cell>
          <cell r="E1500">
            <v>3909.88</v>
          </cell>
          <cell r="F1500">
            <v>3909.88</v>
          </cell>
        </row>
        <row r="1501">
          <cell r="A1501">
            <v>44238</v>
          </cell>
          <cell r="B1501">
            <v>3916.4</v>
          </cell>
          <cell r="C1501">
            <v>3925.99</v>
          </cell>
          <cell r="D1501">
            <v>3890.39</v>
          </cell>
          <cell r="E1501">
            <v>3916.38</v>
          </cell>
          <cell r="F1501">
            <v>3916.38</v>
          </cell>
        </row>
        <row r="1502">
          <cell r="A1502">
            <v>44239</v>
          </cell>
          <cell r="B1502">
            <v>3911.65</v>
          </cell>
          <cell r="C1502">
            <v>3937.23</v>
          </cell>
          <cell r="D1502">
            <v>3905.78</v>
          </cell>
          <cell r="E1502">
            <v>3934.83</v>
          </cell>
          <cell r="F1502">
            <v>3934.83</v>
          </cell>
        </row>
        <row r="1503">
          <cell r="A1503">
            <v>44243</v>
          </cell>
          <cell r="B1503">
            <v>3939.61</v>
          </cell>
          <cell r="C1503">
            <v>3950.43</v>
          </cell>
          <cell r="D1503">
            <v>3923.85</v>
          </cell>
          <cell r="E1503">
            <v>3932.59</v>
          </cell>
          <cell r="F1503">
            <v>3932.59</v>
          </cell>
        </row>
        <row r="1504">
          <cell r="A1504">
            <v>44244</v>
          </cell>
          <cell r="B1504">
            <v>3918.5</v>
          </cell>
          <cell r="C1504">
            <v>3933.61</v>
          </cell>
          <cell r="D1504">
            <v>3900.43</v>
          </cell>
          <cell r="E1504">
            <v>3931.33</v>
          </cell>
          <cell r="F1504">
            <v>3931.33</v>
          </cell>
        </row>
        <row r="1505">
          <cell r="A1505">
            <v>44245</v>
          </cell>
          <cell r="B1505">
            <v>3915.86</v>
          </cell>
          <cell r="C1505">
            <v>3921.98</v>
          </cell>
          <cell r="D1505">
            <v>3885.03</v>
          </cell>
          <cell r="E1505">
            <v>3913.97</v>
          </cell>
          <cell r="F1505">
            <v>3913.97</v>
          </cell>
        </row>
        <row r="1506">
          <cell r="A1506">
            <v>44246</v>
          </cell>
          <cell r="B1506">
            <v>3921.16</v>
          </cell>
          <cell r="C1506">
            <v>3930.41</v>
          </cell>
          <cell r="D1506">
            <v>3903.07</v>
          </cell>
          <cell r="E1506">
            <v>3906.71</v>
          </cell>
          <cell r="F1506">
            <v>3906.71</v>
          </cell>
        </row>
        <row r="1507">
          <cell r="A1507">
            <v>44249</v>
          </cell>
          <cell r="B1507">
            <v>3885.55</v>
          </cell>
          <cell r="C1507">
            <v>3902.92</v>
          </cell>
          <cell r="D1507">
            <v>3874.71</v>
          </cell>
          <cell r="E1507">
            <v>3876.5</v>
          </cell>
          <cell r="F1507">
            <v>3876.5</v>
          </cell>
        </row>
        <row r="1508">
          <cell r="A1508">
            <v>44250</v>
          </cell>
          <cell r="B1508">
            <v>3857.07</v>
          </cell>
          <cell r="C1508">
            <v>3895.98</v>
          </cell>
          <cell r="D1508">
            <v>3805.59</v>
          </cell>
          <cell r="E1508">
            <v>3881.37</v>
          </cell>
          <cell r="F1508">
            <v>3881.37</v>
          </cell>
        </row>
        <row r="1509">
          <cell r="A1509">
            <v>44251</v>
          </cell>
          <cell r="B1509">
            <v>3873.71</v>
          </cell>
          <cell r="C1509">
            <v>3928.65</v>
          </cell>
          <cell r="D1509">
            <v>3859.6</v>
          </cell>
          <cell r="E1509">
            <v>3925.43</v>
          </cell>
          <cell r="F1509">
            <v>3925.43</v>
          </cell>
        </row>
        <row r="1510">
          <cell r="A1510">
            <v>44252</v>
          </cell>
          <cell r="B1510">
            <v>3915.8</v>
          </cell>
          <cell r="C1510">
            <v>3925.02</v>
          </cell>
          <cell r="D1510">
            <v>3814.04</v>
          </cell>
          <cell r="E1510">
            <v>3829.34</v>
          </cell>
          <cell r="F1510">
            <v>3829.34</v>
          </cell>
        </row>
        <row r="1511">
          <cell r="A1511">
            <v>44253</v>
          </cell>
          <cell r="B1511">
            <v>3839.66</v>
          </cell>
          <cell r="C1511">
            <v>3861.08</v>
          </cell>
          <cell r="D1511">
            <v>3789.54</v>
          </cell>
          <cell r="E1511">
            <v>3811.15</v>
          </cell>
          <cell r="F1511">
            <v>3811.15</v>
          </cell>
        </row>
        <row r="1512">
          <cell r="A1512">
            <v>44256</v>
          </cell>
          <cell r="B1512">
            <v>3842.51</v>
          </cell>
          <cell r="C1512">
            <v>3914.5</v>
          </cell>
          <cell r="D1512">
            <v>3842.51</v>
          </cell>
          <cell r="E1512">
            <v>3901.82</v>
          </cell>
          <cell r="F1512">
            <v>3901.82</v>
          </cell>
        </row>
        <row r="1513">
          <cell r="A1513">
            <v>44257</v>
          </cell>
          <cell r="B1513">
            <v>3903.64</v>
          </cell>
          <cell r="C1513">
            <v>3906.41</v>
          </cell>
          <cell r="D1513">
            <v>3868.57</v>
          </cell>
          <cell r="E1513">
            <v>3870.29</v>
          </cell>
          <cell r="F1513">
            <v>3870.29</v>
          </cell>
        </row>
        <row r="1514">
          <cell r="A1514">
            <v>44258</v>
          </cell>
          <cell r="B1514">
            <v>3863.99</v>
          </cell>
          <cell r="C1514">
            <v>3874.47</v>
          </cell>
          <cell r="D1514">
            <v>3818.86</v>
          </cell>
          <cell r="E1514">
            <v>3819.72</v>
          </cell>
          <cell r="F1514">
            <v>3819.72</v>
          </cell>
        </row>
        <row r="1515">
          <cell r="A1515">
            <v>44259</v>
          </cell>
          <cell r="B1515">
            <v>3818.53</v>
          </cell>
          <cell r="C1515">
            <v>3843.67</v>
          </cell>
          <cell r="D1515">
            <v>3723.34</v>
          </cell>
          <cell r="E1515">
            <v>3768.47</v>
          </cell>
          <cell r="F1515">
            <v>3768.47</v>
          </cell>
        </row>
        <row r="1516">
          <cell r="A1516">
            <v>44260</v>
          </cell>
          <cell r="B1516">
            <v>3793.58</v>
          </cell>
          <cell r="C1516">
            <v>3851.69</v>
          </cell>
          <cell r="D1516">
            <v>3730.19</v>
          </cell>
          <cell r="E1516">
            <v>3841.94</v>
          </cell>
          <cell r="F1516">
            <v>3841.94</v>
          </cell>
        </row>
        <row r="1517">
          <cell r="A1517">
            <v>44263</v>
          </cell>
          <cell r="B1517">
            <v>3844.39</v>
          </cell>
          <cell r="C1517">
            <v>3881.06</v>
          </cell>
          <cell r="D1517">
            <v>3819.25</v>
          </cell>
          <cell r="E1517">
            <v>3821.35</v>
          </cell>
          <cell r="F1517">
            <v>3821.35</v>
          </cell>
        </row>
        <row r="1518">
          <cell r="A1518">
            <v>44264</v>
          </cell>
          <cell r="B1518">
            <v>3851.93</v>
          </cell>
          <cell r="C1518">
            <v>3903.76</v>
          </cell>
          <cell r="D1518">
            <v>3851.93</v>
          </cell>
          <cell r="E1518">
            <v>3875.44</v>
          </cell>
          <cell r="F1518">
            <v>3875.44</v>
          </cell>
        </row>
        <row r="1519">
          <cell r="A1519">
            <v>44265</v>
          </cell>
          <cell r="B1519">
            <v>3891.99</v>
          </cell>
          <cell r="C1519">
            <v>3917.35</v>
          </cell>
          <cell r="D1519">
            <v>3885.73</v>
          </cell>
          <cell r="E1519">
            <v>3898.81</v>
          </cell>
          <cell r="F1519">
            <v>3898.81</v>
          </cell>
        </row>
        <row r="1520">
          <cell r="A1520">
            <v>44266</v>
          </cell>
          <cell r="B1520">
            <v>3915.54</v>
          </cell>
          <cell r="C1520">
            <v>3960.27</v>
          </cell>
          <cell r="D1520">
            <v>3915.54</v>
          </cell>
          <cell r="E1520">
            <v>3939.34</v>
          </cell>
          <cell r="F1520">
            <v>3939.34</v>
          </cell>
        </row>
        <row r="1521">
          <cell r="A1521">
            <v>44267</v>
          </cell>
          <cell r="B1521">
            <v>3924.52</v>
          </cell>
          <cell r="C1521">
            <v>3944.99</v>
          </cell>
          <cell r="D1521">
            <v>3915.21</v>
          </cell>
          <cell r="E1521">
            <v>3943.34</v>
          </cell>
          <cell r="F1521">
            <v>3943.34</v>
          </cell>
        </row>
        <row r="1522">
          <cell r="A1522">
            <v>44270</v>
          </cell>
          <cell r="B1522">
            <v>3942.96</v>
          </cell>
          <cell r="C1522">
            <v>3970.08</v>
          </cell>
          <cell r="D1522">
            <v>3923.54</v>
          </cell>
          <cell r="E1522">
            <v>3968.94</v>
          </cell>
          <cell r="F1522">
            <v>3968.94</v>
          </cell>
        </row>
        <row r="1523">
          <cell r="A1523">
            <v>44271</v>
          </cell>
          <cell r="B1523">
            <v>3973.59</v>
          </cell>
          <cell r="C1523">
            <v>3981.04</v>
          </cell>
          <cell r="D1523">
            <v>3953.44</v>
          </cell>
          <cell r="E1523">
            <v>3962.71</v>
          </cell>
          <cell r="F1523">
            <v>3962.71</v>
          </cell>
        </row>
        <row r="1524">
          <cell r="A1524">
            <v>44272</v>
          </cell>
          <cell r="B1524">
            <v>3949.57</v>
          </cell>
          <cell r="C1524">
            <v>3983.87</v>
          </cell>
          <cell r="D1524">
            <v>3935.74</v>
          </cell>
          <cell r="E1524">
            <v>3974.12</v>
          </cell>
          <cell r="F1524">
            <v>3974.12</v>
          </cell>
        </row>
        <row r="1525">
          <cell r="A1525">
            <v>44273</v>
          </cell>
          <cell r="B1525">
            <v>3953.5</v>
          </cell>
          <cell r="C1525">
            <v>3969.62</v>
          </cell>
          <cell r="D1525">
            <v>3910.86</v>
          </cell>
          <cell r="E1525">
            <v>3915.46</v>
          </cell>
          <cell r="F1525">
            <v>3915.46</v>
          </cell>
        </row>
        <row r="1526">
          <cell r="A1526">
            <v>44274</v>
          </cell>
          <cell r="B1526">
            <v>3913.14</v>
          </cell>
          <cell r="C1526">
            <v>3930.12</v>
          </cell>
          <cell r="D1526">
            <v>3886.75</v>
          </cell>
          <cell r="E1526">
            <v>3913.1</v>
          </cell>
          <cell r="F1526">
            <v>3913.1</v>
          </cell>
        </row>
        <row r="1527">
          <cell r="A1527">
            <v>44277</v>
          </cell>
          <cell r="B1527">
            <v>3916.48</v>
          </cell>
          <cell r="C1527">
            <v>3955.31</v>
          </cell>
          <cell r="D1527">
            <v>3914.16</v>
          </cell>
          <cell r="E1527">
            <v>3940.59</v>
          </cell>
          <cell r="F1527">
            <v>3940.59</v>
          </cell>
        </row>
        <row r="1528">
          <cell r="A1528">
            <v>44278</v>
          </cell>
          <cell r="B1528">
            <v>3937.6</v>
          </cell>
          <cell r="C1528">
            <v>3949.13</v>
          </cell>
          <cell r="D1528">
            <v>3901.57</v>
          </cell>
          <cell r="E1528">
            <v>3910.52</v>
          </cell>
          <cell r="F1528">
            <v>3910.52</v>
          </cell>
        </row>
        <row r="1529">
          <cell r="A1529">
            <v>44279</v>
          </cell>
          <cell r="B1529">
            <v>3919.93</v>
          </cell>
          <cell r="C1529">
            <v>3942.08</v>
          </cell>
          <cell r="D1529">
            <v>3889.07</v>
          </cell>
          <cell r="E1529">
            <v>3889.14</v>
          </cell>
          <cell r="F1529">
            <v>3889.14</v>
          </cell>
        </row>
        <row r="1530">
          <cell r="A1530">
            <v>44280</v>
          </cell>
          <cell r="B1530">
            <v>3879.34</v>
          </cell>
          <cell r="C1530">
            <v>3919.54</v>
          </cell>
          <cell r="D1530">
            <v>3853.5</v>
          </cell>
          <cell r="E1530">
            <v>3909.52</v>
          </cell>
          <cell r="F1530">
            <v>3909.52</v>
          </cell>
        </row>
        <row r="1531">
          <cell r="A1531">
            <v>44281</v>
          </cell>
          <cell r="B1531">
            <v>3917.12</v>
          </cell>
          <cell r="C1531">
            <v>3978.19</v>
          </cell>
          <cell r="D1531">
            <v>3917.12</v>
          </cell>
          <cell r="E1531">
            <v>3974.54</v>
          </cell>
          <cell r="F1531">
            <v>3974.54</v>
          </cell>
        </row>
        <row r="1532">
          <cell r="A1532">
            <v>44284</v>
          </cell>
          <cell r="B1532">
            <v>3969.31</v>
          </cell>
          <cell r="C1532">
            <v>3981.83</v>
          </cell>
          <cell r="D1532">
            <v>3943.25</v>
          </cell>
          <cell r="E1532">
            <v>3971.09</v>
          </cell>
          <cell r="F1532">
            <v>3971.09</v>
          </cell>
        </row>
        <row r="1533">
          <cell r="A1533">
            <v>44285</v>
          </cell>
          <cell r="B1533">
            <v>3963.34</v>
          </cell>
          <cell r="C1533">
            <v>3968.01</v>
          </cell>
          <cell r="D1533">
            <v>3944.35</v>
          </cell>
          <cell r="E1533">
            <v>3958.55</v>
          </cell>
          <cell r="F1533">
            <v>3958.55</v>
          </cell>
        </row>
        <row r="1534">
          <cell r="A1534">
            <v>44286</v>
          </cell>
          <cell r="B1534">
            <v>3967.25</v>
          </cell>
          <cell r="C1534">
            <v>3994.41</v>
          </cell>
          <cell r="D1534">
            <v>3966.98</v>
          </cell>
          <cell r="E1534">
            <v>3972.89</v>
          </cell>
          <cell r="F1534">
            <v>3972.89</v>
          </cell>
        </row>
        <row r="1535">
          <cell r="A1535">
            <v>44287</v>
          </cell>
          <cell r="B1535">
            <v>3992.78</v>
          </cell>
          <cell r="C1535">
            <v>4020.63</v>
          </cell>
          <cell r="D1535">
            <v>3992.78</v>
          </cell>
          <cell r="E1535">
            <v>4019.87</v>
          </cell>
          <cell r="F1535">
            <v>4019.87</v>
          </cell>
        </row>
        <row r="1536">
          <cell r="A1536">
            <v>44291</v>
          </cell>
          <cell r="B1536">
            <v>4034.44</v>
          </cell>
          <cell r="C1536">
            <v>4083.42</v>
          </cell>
          <cell r="D1536">
            <v>4034.44</v>
          </cell>
          <cell r="E1536">
            <v>4077.91</v>
          </cell>
          <cell r="F1536">
            <v>4077.91</v>
          </cell>
        </row>
        <row r="1537">
          <cell r="A1537">
            <v>44292</v>
          </cell>
          <cell r="B1537">
            <v>4075.57</v>
          </cell>
          <cell r="C1537">
            <v>4086.23</v>
          </cell>
          <cell r="D1537">
            <v>4068.14</v>
          </cell>
          <cell r="E1537">
            <v>4073.94</v>
          </cell>
          <cell r="F1537">
            <v>4073.94</v>
          </cell>
        </row>
        <row r="1538">
          <cell r="A1538">
            <v>44293</v>
          </cell>
          <cell r="B1538">
            <v>4074.29</v>
          </cell>
          <cell r="C1538">
            <v>4083.13</v>
          </cell>
          <cell r="D1538">
            <v>4068.31</v>
          </cell>
          <cell r="E1538">
            <v>4079.95</v>
          </cell>
          <cell r="F1538">
            <v>4079.95</v>
          </cell>
        </row>
        <row r="1539">
          <cell r="A1539">
            <v>44294</v>
          </cell>
          <cell r="B1539">
            <v>4089.95</v>
          </cell>
          <cell r="C1539">
            <v>4098.1899999999996</v>
          </cell>
          <cell r="D1539">
            <v>4082.54</v>
          </cell>
          <cell r="E1539">
            <v>4097.17</v>
          </cell>
          <cell r="F1539">
            <v>4097.17</v>
          </cell>
        </row>
        <row r="1540">
          <cell r="A1540">
            <v>44295</v>
          </cell>
          <cell r="B1540">
            <v>4096.1099999999997</v>
          </cell>
          <cell r="C1540">
            <v>4129.4799999999996</v>
          </cell>
          <cell r="D1540">
            <v>4095.51</v>
          </cell>
          <cell r="E1540">
            <v>4128.8</v>
          </cell>
          <cell r="F1540">
            <v>4128.8</v>
          </cell>
        </row>
        <row r="1541">
          <cell r="A1541">
            <v>44298</v>
          </cell>
          <cell r="B1541">
            <v>4124.71</v>
          </cell>
          <cell r="C1541">
            <v>4131.76</v>
          </cell>
          <cell r="D1541">
            <v>4114.82</v>
          </cell>
          <cell r="E1541">
            <v>4127.99</v>
          </cell>
          <cell r="F1541">
            <v>4127.99</v>
          </cell>
        </row>
        <row r="1542">
          <cell r="A1542">
            <v>44299</v>
          </cell>
          <cell r="B1542">
            <v>4130.1000000000004</v>
          </cell>
          <cell r="C1542">
            <v>4148</v>
          </cell>
          <cell r="D1542">
            <v>4124.43</v>
          </cell>
          <cell r="E1542">
            <v>4141.59</v>
          </cell>
          <cell r="F1542">
            <v>4141.59</v>
          </cell>
        </row>
        <row r="1543">
          <cell r="A1543">
            <v>44300</v>
          </cell>
          <cell r="B1543">
            <v>4141.58</v>
          </cell>
          <cell r="C1543">
            <v>4151.6899999999996</v>
          </cell>
          <cell r="D1543">
            <v>4120.87</v>
          </cell>
          <cell r="E1543">
            <v>4124.66</v>
          </cell>
          <cell r="F1543">
            <v>4124.66</v>
          </cell>
        </row>
        <row r="1544">
          <cell r="A1544">
            <v>44301</v>
          </cell>
          <cell r="B1544">
            <v>4139.76</v>
          </cell>
          <cell r="C1544">
            <v>4173.49</v>
          </cell>
          <cell r="D1544">
            <v>4139.76</v>
          </cell>
          <cell r="E1544">
            <v>4170.42</v>
          </cell>
          <cell r="F1544">
            <v>4170.42</v>
          </cell>
        </row>
        <row r="1545">
          <cell r="A1545">
            <v>44302</v>
          </cell>
          <cell r="B1545">
            <v>4174.1400000000003</v>
          </cell>
          <cell r="C1545">
            <v>4191.3100000000004</v>
          </cell>
          <cell r="D1545">
            <v>4170.75</v>
          </cell>
          <cell r="E1545">
            <v>4185.47</v>
          </cell>
          <cell r="F1545">
            <v>4185.47</v>
          </cell>
        </row>
        <row r="1546">
          <cell r="A1546">
            <v>44305</v>
          </cell>
          <cell r="B1546">
            <v>4179.8</v>
          </cell>
          <cell r="C1546">
            <v>4180.8100000000004</v>
          </cell>
          <cell r="D1546">
            <v>4150.47</v>
          </cell>
          <cell r="E1546">
            <v>4163.26</v>
          </cell>
          <cell r="F1546">
            <v>4163.26</v>
          </cell>
        </row>
        <row r="1547">
          <cell r="A1547">
            <v>44306</v>
          </cell>
          <cell r="B1547">
            <v>4159.18</v>
          </cell>
          <cell r="C1547">
            <v>4159.18</v>
          </cell>
          <cell r="D1547">
            <v>4118.38</v>
          </cell>
          <cell r="E1547">
            <v>4134.9399999999996</v>
          </cell>
          <cell r="F1547">
            <v>4134.9399999999996</v>
          </cell>
        </row>
        <row r="1548">
          <cell r="A1548">
            <v>44307</v>
          </cell>
          <cell r="B1548">
            <v>4128.42</v>
          </cell>
          <cell r="C1548">
            <v>4175.0200000000004</v>
          </cell>
          <cell r="D1548">
            <v>4126.3500000000004</v>
          </cell>
          <cell r="E1548">
            <v>4173.42</v>
          </cell>
          <cell r="F1548">
            <v>4173.42</v>
          </cell>
        </row>
        <row r="1549">
          <cell r="A1549">
            <v>44308</v>
          </cell>
          <cell r="B1549">
            <v>4170.46</v>
          </cell>
          <cell r="C1549">
            <v>4179.57</v>
          </cell>
          <cell r="D1549">
            <v>4123.6899999999996</v>
          </cell>
          <cell r="E1549">
            <v>4134.9799999999996</v>
          </cell>
          <cell r="F1549">
            <v>4134.9799999999996</v>
          </cell>
        </row>
        <row r="1550">
          <cell r="A1550">
            <v>44309</v>
          </cell>
          <cell r="B1550">
            <v>4138.78</v>
          </cell>
          <cell r="C1550">
            <v>4194.17</v>
          </cell>
          <cell r="D1550">
            <v>4138.78</v>
          </cell>
          <cell r="E1550">
            <v>4180.17</v>
          </cell>
          <cell r="F1550">
            <v>4180.17</v>
          </cell>
        </row>
        <row r="1551">
          <cell r="A1551">
            <v>44312</v>
          </cell>
          <cell r="B1551">
            <v>4185.03</v>
          </cell>
          <cell r="C1551">
            <v>4194.1899999999996</v>
          </cell>
          <cell r="D1551">
            <v>4182.3599999999997</v>
          </cell>
          <cell r="E1551">
            <v>4187.62</v>
          </cell>
          <cell r="F1551">
            <v>4187.62</v>
          </cell>
        </row>
        <row r="1552">
          <cell r="A1552">
            <v>44313</v>
          </cell>
          <cell r="B1552">
            <v>4188.25</v>
          </cell>
          <cell r="C1552">
            <v>4193.3500000000004</v>
          </cell>
          <cell r="D1552">
            <v>4176.22</v>
          </cell>
          <cell r="E1552">
            <v>4186.72</v>
          </cell>
          <cell r="F1552">
            <v>4186.72</v>
          </cell>
        </row>
        <row r="1553">
          <cell r="A1553">
            <v>44314</v>
          </cell>
          <cell r="B1553">
            <v>4185.1400000000003</v>
          </cell>
          <cell r="C1553">
            <v>4201.53</v>
          </cell>
          <cell r="D1553">
            <v>4181.78</v>
          </cell>
          <cell r="E1553">
            <v>4183.18</v>
          </cell>
          <cell r="F1553">
            <v>4183.18</v>
          </cell>
        </row>
        <row r="1554">
          <cell r="A1554">
            <v>44315</v>
          </cell>
          <cell r="B1554">
            <v>4206.1400000000003</v>
          </cell>
          <cell r="C1554">
            <v>4218.78</v>
          </cell>
          <cell r="D1554">
            <v>4176.8100000000004</v>
          </cell>
          <cell r="E1554">
            <v>4211.47</v>
          </cell>
          <cell r="F1554">
            <v>4211.47</v>
          </cell>
        </row>
        <row r="1555">
          <cell r="A1555">
            <v>44316</v>
          </cell>
          <cell r="B1555">
            <v>4198.1000000000004</v>
          </cell>
          <cell r="C1555">
            <v>4198.1000000000004</v>
          </cell>
          <cell r="D1555">
            <v>4174.8500000000004</v>
          </cell>
          <cell r="E1555">
            <v>4181.17</v>
          </cell>
          <cell r="F1555">
            <v>4181.17</v>
          </cell>
        </row>
        <row r="1556">
          <cell r="A1556">
            <v>44319</v>
          </cell>
          <cell r="B1556">
            <v>4191.9799999999996</v>
          </cell>
          <cell r="C1556">
            <v>4209.3900000000003</v>
          </cell>
          <cell r="D1556">
            <v>4188.03</v>
          </cell>
          <cell r="E1556">
            <v>4192.66</v>
          </cell>
          <cell r="F1556">
            <v>4192.66</v>
          </cell>
        </row>
        <row r="1557">
          <cell r="A1557">
            <v>44320</v>
          </cell>
          <cell r="B1557">
            <v>4179.04</v>
          </cell>
          <cell r="C1557">
            <v>4179.04</v>
          </cell>
          <cell r="D1557">
            <v>4128.59</v>
          </cell>
          <cell r="E1557">
            <v>4164.66</v>
          </cell>
          <cell r="F1557">
            <v>4164.66</v>
          </cell>
        </row>
        <row r="1558">
          <cell r="A1558">
            <v>44321</v>
          </cell>
          <cell r="B1558">
            <v>4177.0600000000004</v>
          </cell>
          <cell r="C1558">
            <v>4187.72</v>
          </cell>
          <cell r="D1558">
            <v>4160.9399999999996</v>
          </cell>
          <cell r="E1558">
            <v>4167.59</v>
          </cell>
          <cell r="F1558">
            <v>4167.59</v>
          </cell>
        </row>
        <row r="1559">
          <cell r="A1559">
            <v>44322</v>
          </cell>
          <cell r="B1559">
            <v>4169.1400000000003</v>
          </cell>
          <cell r="C1559">
            <v>4202.7</v>
          </cell>
          <cell r="D1559">
            <v>4147.33</v>
          </cell>
          <cell r="E1559">
            <v>4201.62</v>
          </cell>
          <cell r="F1559">
            <v>4201.62</v>
          </cell>
        </row>
        <row r="1560">
          <cell r="A1560">
            <v>44323</v>
          </cell>
          <cell r="B1560">
            <v>4210.34</v>
          </cell>
          <cell r="C1560">
            <v>4238.04</v>
          </cell>
          <cell r="D1560">
            <v>4201.6400000000003</v>
          </cell>
          <cell r="E1560">
            <v>4232.6000000000004</v>
          </cell>
          <cell r="F1560">
            <v>4232.6000000000004</v>
          </cell>
        </row>
        <row r="1561">
          <cell r="A1561">
            <v>44326</v>
          </cell>
          <cell r="B1561">
            <v>4228.29</v>
          </cell>
          <cell r="C1561">
            <v>4236.3900000000003</v>
          </cell>
          <cell r="D1561">
            <v>4188.13</v>
          </cell>
          <cell r="E1561">
            <v>4188.43</v>
          </cell>
          <cell r="F1561">
            <v>4188.43</v>
          </cell>
        </row>
        <row r="1562">
          <cell r="A1562">
            <v>44327</v>
          </cell>
          <cell r="B1562">
            <v>4150.34</v>
          </cell>
          <cell r="C1562">
            <v>4162.04</v>
          </cell>
          <cell r="D1562">
            <v>4111.53</v>
          </cell>
          <cell r="E1562">
            <v>4152.1000000000004</v>
          </cell>
          <cell r="F1562">
            <v>4152.1000000000004</v>
          </cell>
        </row>
        <row r="1563">
          <cell r="A1563">
            <v>44328</v>
          </cell>
          <cell r="B1563">
            <v>4130.55</v>
          </cell>
          <cell r="C1563">
            <v>4134.7299999999996</v>
          </cell>
          <cell r="D1563">
            <v>4056.88</v>
          </cell>
          <cell r="E1563">
            <v>4063.04</v>
          </cell>
          <cell r="F1563">
            <v>4063.04</v>
          </cell>
        </row>
        <row r="1564">
          <cell r="A1564">
            <v>44329</v>
          </cell>
          <cell r="B1564">
            <v>4074.99</v>
          </cell>
          <cell r="C1564">
            <v>4131.58</v>
          </cell>
          <cell r="D1564">
            <v>4074.99</v>
          </cell>
          <cell r="E1564">
            <v>4112.5</v>
          </cell>
          <cell r="F1564">
            <v>4112.5</v>
          </cell>
        </row>
        <row r="1565">
          <cell r="A1565">
            <v>44330</v>
          </cell>
          <cell r="B1565">
            <v>4129.58</v>
          </cell>
          <cell r="C1565">
            <v>4183.13</v>
          </cell>
          <cell r="D1565">
            <v>4129.58</v>
          </cell>
          <cell r="E1565">
            <v>4173.8500000000004</v>
          </cell>
          <cell r="F1565">
            <v>4173.8500000000004</v>
          </cell>
        </row>
        <row r="1566">
          <cell r="A1566">
            <v>44333</v>
          </cell>
          <cell r="B1566">
            <v>4169.92</v>
          </cell>
          <cell r="C1566">
            <v>4171.92</v>
          </cell>
          <cell r="D1566">
            <v>4142.6899999999996</v>
          </cell>
          <cell r="E1566">
            <v>4163.29</v>
          </cell>
          <cell r="F1566">
            <v>4163.29</v>
          </cell>
        </row>
        <row r="1567">
          <cell r="A1567">
            <v>44334</v>
          </cell>
          <cell r="B1567">
            <v>4165.9399999999996</v>
          </cell>
          <cell r="C1567">
            <v>4169.1499999999996</v>
          </cell>
          <cell r="D1567">
            <v>4125.99</v>
          </cell>
          <cell r="E1567">
            <v>4127.83</v>
          </cell>
          <cell r="F1567">
            <v>4127.83</v>
          </cell>
        </row>
        <row r="1568">
          <cell r="A1568">
            <v>44335</v>
          </cell>
          <cell r="B1568">
            <v>4098.45</v>
          </cell>
          <cell r="C1568">
            <v>4116.93</v>
          </cell>
          <cell r="D1568">
            <v>4061.41</v>
          </cell>
          <cell r="E1568">
            <v>4115.68</v>
          </cell>
          <cell r="F1568">
            <v>4115.68</v>
          </cell>
        </row>
        <row r="1569">
          <cell r="A1569">
            <v>44336</v>
          </cell>
          <cell r="B1569">
            <v>4121.97</v>
          </cell>
          <cell r="C1569">
            <v>4172.8</v>
          </cell>
          <cell r="D1569">
            <v>4121.97</v>
          </cell>
          <cell r="E1569">
            <v>4159.12</v>
          </cell>
          <cell r="F1569">
            <v>4159.12</v>
          </cell>
        </row>
        <row r="1570">
          <cell r="A1570">
            <v>44337</v>
          </cell>
          <cell r="B1570">
            <v>4168.6099999999997</v>
          </cell>
          <cell r="C1570">
            <v>4188.72</v>
          </cell>
          <cell r="D1570">
            <v>4151.72</v>
          </cell>
          <cell r="E1570">
            <v>4155.8599999999997</v>
          </cell>
          <cell r="F1570">
            <v>4155.8599999999997</v>
          </cell>
        </row>
        <row r="1571">
          <cell r="A1571">
            <v>44340</v>
          </cell>
          <cell r="B1571">
            <v>4170.16</v>
          </cell>
          <cell r="C1571">
            <v>4209.5200000000004</v>
          </cell>
          <cell r="D1571">
            <v>4170.16</v>
          </cell>
          <cell r="E1571">
            <v>4197.05</v>
          </cell>
          <cell r="F1571">
            <v>4197.05</v>
          </cell>
        </row>
        <row r="1572">
          <cell r="A1572">
            <v>44341</v>
          </cell>
          <cell r="B1572">
            <v>4205.9399999999996</v>
          </cell>
          <cell r="C1572">
            <v>4213.42</v>
          </cell>
          <cell r="D1572">
            <v>4182.5200000000004</v>
          </cell>
          <cell r="E1572">
            <v>4188.13</v>
          </cell>
          <cell r="F1572">
            <v>4188.13</v>
          </cell>
        </row>
        <row r="1573">
          <cell r="A1573">
            <v>44342</v>
          </cell>
          <cell r="B1573">
            <v>4191.59</v>
          </cell>
          <cell r="C1573">
            <v>4202.6099999999997</v>
          </cell>
          <cell r="D1573">
            <v>4184.1099999999997</v>
          </cell>
          <cell r="E1573">
            <v>4195.99</v>
          </cell>
          <cell r="F1573">
            <v>4195.99</v>
          </cell>
        </row>
        <row r="1574">
          <cell r="A1574">
            <v>44343</v>
          </cell>
          <cell r="B1574">
            <v>4201.9399999999996</v>
          </cell>
          <cell r="C1574">
            <v>4213.38</v>
          </cell>
          <cell r="D1574">
            <v>4197.78</v>
          </cell>
          <cell r="E1574">
            <v>4200.88</v>
          </cell>
          <cell r="F1574">
            <v>4200.88</v>
          </cell>
        </row>
        <row r="1575">
          <cell r="A1575">
            <v>44344</v>
          </cell>
          <cell r="B1575">
            <v>4210.7700000000004</v>
          </cell>
          <cell r="C1575">
            <v>4218.3599999999997</v>
          </cell>
          <cell r="D1575">
            <v>4203.57</v>
          </cell>
          <cell r="E1575">
            <v>4204.1099999999997</v>
          </cell>
          <cell r="F1575">
            <v>4204.1099999999997</v>
          </cell>
        </row>
        <row r="1576">
          <cell r="A1576">
            <v>44348</v>
          </cell>
          <cell r="B1576">
            <v>4216.5200000000004</v>
          </cell>
          <cell r="C1576">
            <v>4234.12</v>
          </cell>
          <cell r="D1576">
            <v>4197.59</v>
          </cell>
          <cell r="E1576">
            <v>4202.04</v>
          </cell>
          <cell r="F1576">
            <v>4202.04</v>
          </cell>
        </row>
        <row r="1577">
          <cell r="A1577">
            <v>44349</v>
          </cell>
          <cell r="B1577">
            <v>4206.82</v>
          </cell>
          <cell r="C1577">
            <v>4217.37</v>
          </cell>
          <cell r="D1577">
            <v>4198.2700000000004</v>
          </cell>
          <cell r="E1577">
            <v>4208.12</v>
          </cell>
          <cell r="F1577">
            <v>4208.12</v>
          </cell>
        </row>
        <row r="1578">
          <cell r="A1578">
            <v>44350</v>
          </cell>
          <cell r="B1578">
            <v>4191.43</v>
          </cell>
          <cell r="C1578">
            <v>4204.3900000000003</v>
          </cell>
          <cell r="D1578">
            <v>4167.93</v>
          </cell>
          <cell r="E1578">
            <v>4192.8500000000004</v>
          </cell>
          <cell r="F1578">
            <v>4192.8500000000004</v>
          </cell>
        </row>
        <row r="1579">
          <cell r="A1579">
            <v>44351</v>
          </cell>
          <cell r="B1579">
            <v>4206.05</v>
          </cell>
          <cell r="C1579">
            <v>4233.45</v>
          </cell>
          <cell r="D1579">
            <v>4206.05</v>
          </cell>
          <cell r="E1579">
            <v>4229.8900000000003</v>
          </cell>
          <cell r="F1579">
            <v>4229.8900000000003</v>
          </cell>
        </row>
        <row r="1580">
          <cell r="A1580">
            <v>44354</v>
          </cell>
          <cell r="B1580">
            <v>4229.34</v>
          </cell>
          <cell r="C1580">
            <v>4232.34</v>
          </cell>
          <cell r="D1580">
            <v>4215.66</v>
          </cell>
          <cell r="E1580">
            <v>4226.5200000000004</v>
          </cell>
          <cell r="F1580">
            <v>4226.5200000000004</v>
          </cell>
        </row>
        <row r="1581">
          <cell r="A1581">
            <v>44355</v>
          </cell>
          <cell r="B1581">
            <v>4233.8100000000004</v>
          </cell>
          <cell r="C1581">
            <v>4236.74</v>
          </cell>
          <cell r="D1581">
            <v>4208.41</v>
          </cell>
          <cell r="E1581">
            <v>4227.26</v>
          </cell>
          <cell r="F1581">
            <v>4227.26</v>
          </cell>
        </row>
        <row r="1582">
          <cell r="A1582">
            <v>44356</v>
          </cell>
          <cell r="B1582">
            <v>4232.99</v>
          </cell>
          <cell r="C1582">
            <v>4237.09</v>
          </cell>
          <cell r="D1582">
            <v>4218.74</v>
          </cell>
          <cell r="E1582">
            <v>4219.55</v>
          </cell>
          <cell r="F1582">
            <v>4219.55</v>
          </cell>
        </row>
        <row r="1583">
          <cell r="A1583">
            <v>44357</v>
          </cell>
          <cell r="B1583">
            <v>4228.5600000000004</v>
          </cell>
          <cell r="C1583">
            <v>4249.74</v>
          </cell>
          <cell r="D1583">
            <v>4220.34</v>
          </cell>
          <cell r="E1583">
            <v>4239.18</v>
          </cell>
          <cell r="F1583">
            <v>4239.18</v>
          </cell>
        </row>
        <row r="1584">
          <cell r="A1584">
            <v>44358</v>
          </cell>
          <cell r="B1584">
            <v>4242.8999999999996</v>
          </cell>
          <cell r="C1584">
            <v>4248.38</v>
          </cell>
          <cell r="D1584">
            <v>4232.25</v>
          </cell>
          <cell r="E1584">
            <v>4247.4399999999996</v>
          </cell>
          <cell r="F1584">
            <v>4247.4399999999996</v>
          </cell>
        </row>
        <row r="1585">
          <cell r="A1585">
            <v>44361</v>
          </cell>
          <cell r="B1585">
            <v>4248.3100000000004</v>
          </cell>
          <cell r="C1585">
            <v>4255.59</v>
          </cell>
          <cell r="D1585">
            <v>4234.07</v>
          </cell>
          <cell r="E1585">
            <v>4255.1499999999996</v>
          </cell>
          <cell r="F1585">
            <v>4255.1499999999996</v>
          </cell>
        </row>
        <row r="1586">
          <cell r="A1586">
            <v>44362</v>
          </cell>
          <cell r="B1586">
            <v>4255.28</v>
          </cell>
          <cell r="C1586">
            <v>4257.16</v>
          </cell>
          <cell r="D1586">
            <v>4238.3500000000004</v>
          </cell>
          <cell r="E1586">
            <v>4246.59</v>
          </cell>
          <cell r="F1586">
            <v>4246.59</v>
          </cell>
        </row>
        <row r="1587">
          <cell r="A1587">
            <v>44363</v>
          </cell>
          <cell r="B1587">
            <v>4248.87</v>
          </cell>
          <cell r="C1587">
            <v>4251.8900000000003</v>
          </cell>
          <cell r="D1587">
            <v>4202.45</v>
          </cell>
          <cell r="E1587">
            <v>4223.7</v>
          </cell>
          <cell r="F1587">
            <v>4223.7</v>
          </cell>
        </row>
        <row r="1588">
          <cell r="A1588">
            <v>44364</v>
          </cell>
          <cell r="B1588">
            <v>4220.37</v>
          </cell>
          <cell r="C1588">
            <v>4232.29</v>
          </cell>
          <cell r="D1588">
            <v>4196.05</v>
          </cell>
          <cell r="E1588">
            <v>4221.8599999999997</v>
          </cell>
          <cell r="F1588">
            <v>4221.8599999999997</v>
          </cell>
        </row>
        <row r="1589">
          <cell r="A1589">
            <v>44365</v>
          </cell>
          <cell r="B1589">
            <v>4204.78</v>
          </cell>
          <cell r="C1589">
            <v>4204.78</v>
          </cell>
          <cell r="D1589">
            <v>4164.3999999999996</v>
          </cell>
          <cell r="E1589">
            <v>4166.45</v>
          </cell>
          <cell r="F1589">
            <v>4166.45</v>
          </cell>
        </row>
        <row r="1590">
          <cell r="A1590">
            <v>44368</v>
          </cell>
          <cell r="B1590">
            <v>4173.3999999999996</v>
          </cell>
          <cell r="C1590">
            <v>4226.24</v>
          </cell>
          <cell r="D1590">
            <v>4173.3999999999996</v>
          </cell>
          <cell r="E1590">
            <v>4224.79</v>
          </cell>
          <cell r="F1590">
            <v>4224.79</v>
          </cell>
        </row>
        <row r="1591">
          <cell r="A1591">
            <v>44369</v>
          </cell>
          <cell r="B1591">
            <v>4224.6099999999997</v>
          </cell>
          <cell r="C1591">
            <v>4255.84</v>
          </cell>
          <cell r="D1591">
            <v>4217.2700000000004</v>
          </cell>
          <cell r="E1591">
            <v>4246.4399999999996</v>
          </cell>
          <cell r="F1591">
            <v>4246.4399999999996</v>
          </cell>
        </row>
        <row r="1592">
          <cell r="A1592">
            <v>44370</v>
          </cell>
          <cell r="B1592">
            <v>4249.2700000000004</v>
          </cell>
          <cell r="C1592">
            <v>4256.6000000000004</v>
          </cell>
          <cell r="D1592">
            <v>4241.43</v>
          </cell>
          <cell r="E1592">
            <v>4241.84</v>
          </cell>
          <cell r="F1592">
            <v>4241.84</v>
          </cell>
        </row>
        <row r="1593">
          <cell r="A1593">
            <v>44371</v>
          </cell>
          <cell r="B1593">
            <v>4256.97</v>
          </cell>
          <cell r="C1593">
            <v>4271.28</v>
          </cell>
          <cell r="D1593">
            <v>4256.97</v>
          </cell>
          <cell r="E1593">
            <v>4266.49</v>
          </cell>
          <cell r="F1593">
            <v>4266.49</v>
          </cell>
        </row>
        <row r="1594">
          <cell r="A1594">
            <v>44372</v>
          </cell>
          <cell r="B1594">
            <v>4274.45</v>
          </cell>
          <cell r="C1594">
            <v>4286.12</v>
          </cell>
          <cell r="D1594">
            <v>4271.16</v>
          </cell>
          <cell r="E1594">
            <v>4280.7</v>
          </cell>
          <cell r="F1594">
            <v>4280.7</v>
          </cell>
        </row>
        <row r="1595">
          <cell r="A1595">
            <v>44375</v>
          </cell>
          <cell r="B1595">
            <v>4284.8999999999996</v>
          </cell>
          <cell r="C1595">
            <v>4292.1400000000003</v>
          </cell>
          <cell r="D1595">
            <v>4274.67</v>
          </cell>
          <cell r="E1595">
            <v>4290.6099999999997</v>
          </cell>
          <cell r="F1595">
            <v>4290.6099999999997</v>
          </cell>
        </row>
        <row r="1596">
          <cell r="A1596">
            <v>44376</v>
          </cell>
          <cell r="B1596">
            <v>4293.21</v>
          </cell>
          <cell r="C1596">
            <v>4300.5200000000004</v>
          </cell>
          <cell r="D1596">
            <v>4287.04</v>
          </cell>
          <cell r="E1596">
            <v>4291.8</v>
          </cell>
          <cell r="F1596">
            <v>4291.8</v>
          </cell>
        </row>
        <row r="1597">
          <cell r="A1597">
            <v>44377</v>
          </cell>
          <cell r="B1597">
            <v>4290.6499999999996</v>
          </cell>
          <cell r="C1597">
            <v>4302.43</v>
          </cell>
          <cell r="D1597">
            <v>4287.96</v>
          </cell>
          <cell r="E1597">
            <v>4297.5</v>
          </cell>
          <cell r="F1597">
            <v>4297.5</v>
          </cell>
        </row>
        <row r="1598">
          <cell r="A1598">
            <v>44378</v>
          </cell>
          <cell r="B1598">
            <v>4300.7299999999996</v>
          </cell>
          <cell r="C1598">
            <v>4320.66</v>
          </cell>
          <cell r="D1598">
            <v>4300.7299999999996</v>
          </cell>
          <cell r="E1598">
            <v>4319.9399999999996</v>
          </cell>
          <cell r="F1598">
            <v>4319.9399999999996</v>
          </cell>
        </row>
        <row r="1599">
          <cell r="A1599">
            <v>44379</v>
          </cell>
          <cell r="B1599">
            <v>4326.6000000000004</v>
          </cell>
          <cell r="C1599">
            <v>4355.43</v>
          </cell>
          <cell r="D1599">
            <v>4326.6000000000004</v>
          </cell>
          <cell r="E1599">
            <v>4352.34</v>
          </cell>
          <cell r="F1599">
            <v>4352.34</v>
          </cell>
        </row>
        <row r="1600">
          <cell r="A1600">
            <v>44383</v>
          </cell>
          <cell r="B1600">
            <v>4356.46</v>
          </cell>
          <cell r="C1600">
            <v>4356.46</v>
          </cell>
          <cell r="D1600">
            <v>4314.37</v>
          </cell>
          <cell r="E1600">
            <v>4343.54</v>
          </cell>
          <cell r="F1600">
            <v>4343.54</v>
          </cell>
        </row>
        <row r="1601">
          <cell r="A1601">
            <v>44384</v>
          </cell>
          <cell r="B1601">
            <v>4351.01</v>
          </cell>
          <cell r="C1601">
            <v>4361.88</v>
          </cell>
          <cell r="D1601">
            <v>4329.79</v>
          </cell>
          <cell r="E1601">
            <v>4358.13</v>
          </cell>
          <cell r="F1601">
            <v>4358.13</v>
          </cell>
        </row>
        <row r="1602">
          <cell r="A1602">
            <v>44385</v>
          </cell>
          <cell r="B1602">
            <v>4321.07</v>
          </cell>
          <cell r="C1602">
            <v>4330.88</v>
          </cell>
          <cell r="D1602">
            <v>4289.37</v>
          </cell>
          <cell r="E1602">
            <v>4320.82</v>
          </cell>
          <cell r="F1602">
            <v>4320.82</v>
          </cell>
        </row>
        <row r="1603">
          <cell r="A1603">
            <v>44386</v>
          </cell>
          <cell r="B1603">
            <v>4329.38</v>
          </cell>
          <cell r="C1603">
            <v>4371.6000000000004</v>
          </cell>
          <cell r="D1603">
            <v>4329.38</v>
          </cell>
          <cell r="E1603">
            <v>4369.55</v>
          </cell>
          <cell r="F1603">
            <v>4369.55</v>
          </cell>
        </row>
        <row r="1604">
          <cell r="A1604">
            <v>44389</v>
          </cell>
          <cell r="B1604">
            <v>4372.41</v>
          </cell>
          <cell r="C1604">
            <v>4386.68</v>
          </cell>
          <cell r="D1604">
            <v>4364.03</v>
          </cell>
          <cell r="E1604">
            <v>4384.63</v>
          </cell>
          <cell r="F1604">
            <v>4384.63</v>
          </cell>
        </row>
        <row r="1605">
          <cell r="A1605">
            <v>44390</v>
          </cell>
          <cell r="B1605">
            <v>4381.07</v>
          </cell>
          <cell r="C1605">
            <v>4392.37</v>
          </cell>
          <cell r="D1605">
            <v>4366.92</v>
          </cell>
          <cell r="E1605">
            <v>4369.21</v>
          </cell>
          <cell r="F1605">
            <v>4369.21</v>
          </cell>
        </row>
        <row r="1606">
          <cell r="A1606">
            <v>44391</v>
          </cell>
          <cell r="B1606">
            <v>4380.1099999999997</v>
          </cell>
          <cell r="C1606">
            <v>4393.68</v>
          </cell>
          <cell r="D1606">
            <v>4362.3599999999997</v>
          </cell>
          <cell r="E1606">
            <v>4374.3</v>
          </cell>
          <cell r="F1606">
            <v>4374.3</v>
          </cell>
        </row>
        <row r="1607">
          <cell r="A1607">
            <v>44392</v>
          </cell>
          <cell r="B1607">
            <v>4369.0200000000004</v>
          </cell>
          <cell r="C1607">
            <v>4369.0200000000004</v>
          </cell>
          <cell r="D1607">
            <v>4340.7</v>
          </cell>
          <cell r="E1607">
            <v>4360.03</v>
          </cell>
          <cell r="F1607">
            <v>4360.03</v>
          </cell>
        </row>
        <row r="1608">
          <cell r="A1608">
            <v>44393</v>
          </cell>
          <cell r="B1608">
            <v>4367.43</v>
          </cell>
          <cell r="C1608">
            <v>4375.09</v>
          </cell>
          <cell r="D1608">
            <v>4322.53</v>
          </cell>
          <cell r="E1608">
            <v>4327.16</v>
          </cell>
          <cell r="F1608">
            <v>4327.16</v>
          </cell>
        </row>
        <row r="1609">
          <cell r="A1609">
            <v>44396</v>
          </cell>
          <cell r="B1609">
            <v>4296.3999999999996</v>
          </cell>
          <cell r="C1609">
            <v>4296.3999999999996</v>
          </cell>
          <cell r="D1609">
            <v>4233.13</v>
          </cell>
          <cell r="E1609">
            <v>4258.49</v>
          </cell>
          <cell r="F1609">
            <v>4258.49</v>
          </cell>
        </row>
        <row r="1610">
          <cell r="A1610">
            <v>44397</v>
          </cell>
          <cell r="B1610">
            <v>4265.1099999999997</v>
          </cell>
          <cell r="C1610">
            <v>4336.84</v>
          </cell>
          <cell r="D1610">
            <v>4262.05</v>
          </cell>
          <cell r="E1610">
            <v>4323.0600000000004</v>
          </cell>
          <cell r="F1610">
            <v>4323.0600000000004</v>
          </cell>
        </row>
        <row r="1611">
          <cell r="A1611">
            <v>44398</v>
          </cell>
          <cell r="B1611">
            <v>4331.13</v>
          </cell>
          <cell r="C1611">
            <v>4359.7</v>
          </cell>
          <cell r="D1611">
            <v>4331.13</v>
          </cell>
          <cell r="E1611">
            <v>4358.6899999999996</v>
          </cell>
          <cell r="F1611">
            <v>4358.6899999999996</v>
          </cell>
        </row>
        <row r="1612">
          <cell r="A1612">
            <v>44399</v>
          </cell>
          <cell r="B1612">
            <v>4361.2700000000004</v>
          </cell>
          <cell r="C1612">
            <v>4369.87</v>
          </cell>
          <cell r="D1612">
            <v>4350.0600000000004</v>
          </cell>
          <cell r="E1612">
            <v>4367.4799999999996</v>
          </cell>
          <cell r="F1612">
            <v>4367.4799999999996</v>
          </cell>
        </row>
        <row r="1613">
          <cell r="A1613">
            <v>44400</v>
          </cell>
          <cell r="B1613">
            <v>4381.2</v>
          </cell>
          <cell r="C1613">
            <v>4415.18</v>
          </cell>
          <cell r="D1613">
            <v>4381.2</v>
          </cell>
          <cell r="E1613">
            <v>4411.79</v>
          </cell>
          <cell r="F1613">
            <v>4411.79</v>
          </cell>
        </row>
        <row r="1614">
          <cell r="A1614">
            <v>44403</v>
          </cell>
          <cell r="B1614">
            <v>4409.58</v>
          </cell>
          <cell r="C1614">
            <v>4422.7299999999996</v>
          </cell>
          <cell r="D1614">
            <v>4405.45</v>
          </cell>
          <cell r="E1614">
            <v>4422.3</v>
          </cell>
          <cell r="F1614">
            <v>4422.3</v>
          </cell>
        </row>
        <row r="1615">
          <cell r="A1615">
            <v>44404</v>
          </cell>
          <cell r="B1615">
            <v>4416.38</v>
          </cell>
          <cell r="C1615">
            <v>4416.38</v>
          </cell>
          <cell r="D1615">
            <v>4372.51</v>
          </cell>
          <cell r="E1615">
            <v>4401.46</v>
          </cell>
          <cell r="F1615">
            <v>4401.46</v>
          </cell>
        </row>
        <row r="1616">
          <cell r="A1616">
            <v>44405</v>
          </cell>
          <cell r="B1616">
            <v>4402.95</v>
          </cell>
          <cell r="C1616">
            <v>4415.47</v>
          </cell>
          <cell r="D1616">
            <v>4387.01</v>
          </cell>
          <cell r="E1616">
            <v>4400.6400000000003</v>
          </cell>
          <cell r="F1616">
            <v>4400.6400000000003</v>
          </cell>
        </row>
        <row r="1617">
          <cell r="A1617">
            <v>44406</v>
          </cell>
          <cell r="B1617">
            <v>4403.59</v>
          </cell>
          <cell r="C1617">
            <v>4429.97</v>
          </cell>
          <cell r="D1617">
            <v>4403.59</v>
          </cell>
          <cell r="E1617">
            <v>4419.1499999999996</v>
          </cell>
          <cell r="F1617">
            <v>4419.1499999999996</v>
          </cell>
        </row>
        <row r="1618">
          <cell r="A1618">
            <v>44407</v>
          </cell>
          <cell r="B1618">
            <v>4395.12</v>
          </cell>
          <cell r="C1618">
            <v>4412.25</v>
          </cell>
          <cell r="D1618">
            <v>4389.6499999999996</v>
          </cell>
          <cell r="E1618">
            <v>4395.26</v>
          </cell>
          <cell r="F1618">
            <v>4395.26</v>
          </cell>
        </row>
        <row r="1619">
          <cell r="A1619">
            <v>44410</v>
          </cell>
          <cell r="B1619">
            <v>4406.8599999999997</v>
          </cell>
          <cell r="C1619">
            <v>4422.18</v>
          </cell>
          <cell r="D1619">
            <v>4384.8100000000004</v>
          </cell>
          <cell r="E1619">
            <v>4387.16</v>
          </cell>
          <cell r="F1619">
            <v>4387.16</v>
          </cell>
        </row>
        <row r="1620">
          <cell r="A1620">
            <v>44411</v>
          </cell>
          <cell r="B1620">
            <v>4392.74</v>
          </cell>
          <cell r="C1620">
            <v>4423.79</v>
          </cell>
          <cell r="D1620">
            <v>4373</v>
          </cell>
          <cell r="E1620">
            <v>4423.1499999999996</v>
          </cell>
          <cell r="F1620">
            <v>4423.1499999999996</v>
          </cell>
        </row>
        <row r="1621">
          <cell r="A1621">
            <v>44412</v>
          </cell>
          <cell r="B1621">
            <v>4415.95</v>
          </cell>
          <cell r="C1621">
            <v>4416.17</v>
          </cell>
          <cell r="D1621">
            <v>4400.2299999999996</v>
          </cell>
          <cell r="E1621">
            <v>4402.66</v>
          </cell>
          <cell r="F1621">
            <v>4402.66</v>
          </cell>
        </row>
        <row r="1622">
          <cell r="A1622">
            <v>44413</v>
          </cell>
          <cell r="B1622">
            <v>4408.8599999999997</v>
          </cell>
          <cell r="C1622">
            <v>4429.76</v>
          </cell>
          <cell r="D1622">
            <v>4408.8599999999997</v>
          </cell>
          <cell r="E1622">
            <v>4429.1000000000004</v>
          </cell>
          <cell r="F1622">
            <v>4429.1000000000004</v>
          </cell>
        </row>
        <row r="1623">
          <cell r="A1623">
            <v>44414</v>
          </cell>
          <cell r="B1623">
            <v>4429.07</v>
          </cell>
          <cell r="C1623">
            <v>4440.82</v>
          </cell>
          <cell r="D1623">
            <v>4429.07</v>
          </cell>
          <cell r="E1623">
            <v>4436.5200000000004</v>
          </cell>
          <cell r="F1623">
            <v>4436.5200000000004</v>
          </cell>
        </row>
        <row r="1624">
          <cell r="A1624">
            <v>44417</v>
          </cell>
          <cell r="B1624">
            <v>4437.7700000000004</v>
          </cell>
          <cell r="C1624">
            <v>4439.3900000000003</v>
          </cell>
          <cell r="D1624">
            <v>4424.74</v>
          </cell>
          <cell r="E1624">
            <v>4432.3500000000004</v>
          </cell>
          <cell r="F1624">
            <v>4432.3500000000004</v>
          </cell>
        </row>
        <row r="1625">
          <cell r="A1625">
            <v>44418</v>
          </cell>
          <cell r="B1625">
            <v>4435.79</v>
          </cell>
          <cell r="C1625">
            <v>4445.21</v>
          </cell>
          <cell r="D1625">
            <v>4430.03</v>
          </cell>
          <cell r="E1625">
            <v>4436.75</v>
          </cell>
          <cell r="F1625">
            <v>4436.75</v>
          </cell>
        </row>
        <row r="1626">
          <cell r="A1626">
            <v>44419</v>
          </cell>
          <cell r="B1626">
            <v>4442.18</v>
          </cell>
          <cell r="C1626">
            <v>4449.4399999999996</v>
          </cell>
          <cell r="D1626">
            <v>4436.42</v>
          </cell>
          <cell r="E1626">
            <v>4442.41</v>
          </cell>
          <cell r="F1626">
            <v>4442.41</v>
          </cell>
        </row>
        <row r="1627">
          <cell r="A1627">
            <v>44420</v>
          </cell>
          <cell r="B1627">
            <v>4446.08</v>
          </cell>
          <cell r="C1627">
            <v>4461.7700000000004</v>
          </cell>
          <cell r="D1627">
            <v>4435.96</v>
          </cell>
          <cell r="E1627">
            <v>4460.83</v>
          </cell>
          <cell r="F1627">
            <v>4460.83</v>
          </cell>
        </row>
        <row r="1628">
          <cell r="A1628">
            <v>44421</v>
          </cell>
          <cell r="B1628">
            <v>4464.84</v>
          </cell>
          <cell r="C1628">
            <v>4468.37</v>
          </cell>
          <cell r="D1628">
            <v>4460.82</v>
          </cell>
          <cell r="E1628">
            <v>4468</v>
          </cell>
          <cell r="F1628">
            <v>4468</v>
          </cell>
        </row>
        <row r="1629">
          <cell r="A1629">
            <v>44424</v>
          </cell>
          <cell r="B1629">
            <v>4461.6499999999996</v>
          </cell>
          <cell r="C1629">
            <v>4480.26</v>
          </cell>
          <cell r="D1629">
            <v>4437.66</v>
          </cell>
          <cell r="E1629">
            <v>4479.71</v>
          </cell>
          <cell r="F1629">
            <v>4479.71</v>
          </cell>
        </row>
        <row r="1630">
          <cell r="A1630">
            <v>44425</v>
          </cell>
          <cell r="B1630">
            <v>4462.12</v>
          </cell>
          <cell r="C1630">
            <v>4462.12</v>
          </cell>
          <cell r="D1630">
            <v>4417.83</v>
          </cell>
          <cell r="E1630">
            <v>4448.08</v>
          </cell>
          <cell r="F1630">
            <v>4448.08</v>
          </cell>
        </row>
        <row r="1631">
          <cell r="A1631">
            <v>44426</v>
          </cell>
          <cell r="B1631">
            <v>4440.9399999999996</v>
          </cell>
          <cell r="C1631">
            <v>4454.32</v>
          </cell>
          <cell r="D1631">
            <v>4397.59</v>
          </cell>
          <cell r="E1631">
            <v>4400.2700000000004</v>
          </cell>
          <cell r="F1631">
            <v>4400.2700000000004</v>
          </cell>
        </row>
        <row r="1632">
          <cell r="A1632">
            <v>44427</v>
          </cell>
          <cell r="B1632">
            <v>4382.4399999999996</v>
          </cell>
          <cell r="C1632">
            <v>4418.6099999999997</v>
          </cell>
          <cell r="D1632">
            <v>4367.7299999999996</v>
          </cell>
          <cell r="E1632">
            <v>4405.8</v>
          </cell>
          <cell r="F1632">
            <v>4405.8</v>
          </cell>
        </row>
        <row r="1633">
          <cell r="A1633">
            <v>44428</v>
          </cell>
          <cell r="B1633">
            <v>4410.5600000000004</v>
          </cell>
          <cell r="C1633">
            <v>4444.3500000000004</v>
          </cell>
          <cell r="D1633">
            <v>4406.8</v>
          </cell>
          <cell r="E1633">
            <v>4441.67</v>
          </cell>
          <cell r="F1633">
            <v>4441.67</v>
          </cell>
        </row>
        <row r="1634">
          <cell r="A1634">
            <v>44431</v>
          </cell>
          <cell r="B1634">
            <v>4450.29</v>
          </cell>
          <cell r="C1634">
            <v>4489.88</v>
          </cell>
          <cell r="D1634">
            <v>4450.29</v>
          </cell>
          <cell r="E1634">
            <v>4479.53</v>
          </cell>
          <cell r="F1634">
            <v>4479.53</v>
          </cell>
        </row>
        <row r="1635">
          <cell r="A1635">
            <v>44432</v>
          </cell>
          <cell r="B1635">
            <v>4484.3999999999996</v>
          </cell>
          <cell r="C1635">
            <v>4492.8100000000004</v>
          </cell>
          <cell r="D1635">
            <v>4482.28</v>
          </cell>
          <cell r="E1635">
            <v>4486.2299999999996</v>
          </cell>
          <cell r="F1635">
            <v>4486.2299999999996</v>
          </cell>
        </row>
        <row r="1636">
          <cell r="A1636">
            <v>44433</v>
          </cell>
          <cell r="B1636">
            <v>4490.45</v>
          </cell>
          <cell r="C1636">
            <v>4501.71</v>
          </cell>
          <cell r="D1636">
            <v>4485.66</v>
          </cell>
          <cell r="E1636">
            <v>4496.1899999999996</v>
          </cell>
          <cell r="F1636">
            <v>4496.1899999999996</v>
          </cell>
        </row>
        <row r="1637">
          <cell r="A1637">
            <v>44434</v>
          </cell>
          <cell r="B1637">
            <v>4493.75</v>
          </cell>
          <cell r="C1637">
            <v>4495.8999999999996</v>
          </cell>
          <cell r="D1637">
            <v>4468.99</v>
          </cell>
          <cell r="E1637">
            <v>4470</v>
          </cell>
          <cell r="F1637">
            <v>4470</v>
          </cell>
        </row>
        <row r="1638">
          <cell r="A1638">
            <v>44435</v>
          </cell>
          <cell r="B1638">
            <v>4474.1000000000004</v>
          </cell>
          <cell r="C1638">
            <v>4513.33</v>
          </cell>
          <cell r="D1638">
            <v>4474.1000000000004</v>
          </cell>
          <cell r="E1638">
            <v>4509.37</v>
          </cell>
          <cell r="F1638">
            <v>4509.37</v>
          </cell>
        </row>
        <row r="1639">
          <cell r="A1639">
            <v>44438</v>
          </cell>
          <cell r="B1639">
            <v>4513.76</v>
          </cell>
          <cell r="C1639">
            <v>4537.3599999999997</v>
          </cell>
          <cell r="D1639">
            <v>4513.76</v>
          </cell>
          <cell r="E1639">
            <v>4528.79</v>
          </cell>
          <cell r="F1639">
            <v>4528.79</v>
          </cell>
        </row>
        <row r="1640">
          <cell r="A1640">
            <v>44439</v>
          </cell>
          <cell r="B1640">
            <v>4529.75</v>
          </cell>
          <cell r="C1640">
            <v>4531.3900000000003</v>
          </cell>
          <cell r="D1640">
            <v>4515.8</v>
          </cell>
          <cell r="E1640">
            <v>4522.68</v>
          </cell>
          <cell r="F1640">
            <v>4522.68</v>
          </cell>
        </row>
        <row r="1641">
          <cell r="A1641">
            <v>44440</v>
          </cell>
          <cell r="B1641">
            <v>4528.8</v>
          </cell>
          <cell r="C1641">
            <v>4537.1099999999997</v>
          </cell>
          <cell r="D1641">
            <v>4522.0200000000004</v>
          </cell>
          <cell r="E1641">
            <v>4524.09</v>
          </cell>
          <cell r="F1641">
            <v>4524.09</v>
          </cell>
        </row>
        <row r="1642">
          <cell r="A1642">
            <v>44441</v>
          </cell>
          <cell r="B1642">
            <v>4534.4799999999996</v>
          </cell>
          <cell r="C1642">
            <v>4545.8500000000004</v>
          </cell>
          <cell r="D1642">
            <v>4524.66</v>
          </cell>
          <cell r="E1642">
            <v>4536.95</v>
          </cell>
          <cell r="F1642">
            <v>4536.95</v>
          </cell>
        </row>
        <row r="1643">
          <cell r="A1643">
            <v>44442</v>
          </cell>
          <cell r="B1643">
            <v>4532.42</v>
          </cell>
          <cell r="C1643">
            <v>4541.45</v>
          </cell>
          <cell r="D1643">
            <v>4521.3</v>
          </cell>
          <cell r="E1643">
            <v>4535.43</v>
          </cell>
          <cell r="F1643">
            <v>4535.43</v>
          </cell>
        </row>
        <row r="1644">
          <cell r="A1644">
            <v>44446</v>
          </cell>
          <cell r="B1644">
            <v>4535.38</v>
          </cell>
          <cell r="C1644">
            <v>4535.38</v>
          </cell>
          <cell r="D1644">
            <v>4513</v>
          </cell>
          <cell r="E1644">
            <v>4520.03</v>
          </cell>
          <cell r="F1644">
            <v>4520.03</v>
          </cell>
        </row>
        <row r="1645">
          <cell r="A1645">
            <v>44447</v>
          </cell>
          <cell r="B1645">
            <v>4518.09</v>
          </cell>
          <cell r="C1645">
            <v>4521.79</v>
          </cell>
          <cell r="D1645">
            <v>4493.95</v>
          </cell>
          <cell r="E1645">
            <v>4514.07</v>
          </cell>
          <cell r="F1645">
            <v>4514.07</v>
          </cell>
        </row>
        <row r="1646">
          <cell r="A1646">
            <v>44448</v>
          </cell>
          <cell r="B1646">
            <v>4513.0200000000004</v>
          </cell>
          <cell r="C1646">
            <v>4529.8999999999996</v>
          </cell>
          <cell r="D1646">
            <v>4492.07</v>
          </cell>
          <cell r="E1646">
            <v>4493.28</v>
          </cell>
          <cell r="F1646">
            <v>4493.28</v>
          </cell>
        </row>
        <row r="1647">
          <cell r="A1647">
            <v>44449</v>
          </cell>
          <cell r="B1647">
            <v>4506.92</v>
          </cell>
          <cell r="C1647">
            <v>4520.47</v>
          </cell>
          <cell r="D1647">
            <v>4457.66</v>
          </cell>
          <cell r="E1647">
            <v>4458.58</v>
          </cell>
          <cell r="F1647">
            <v>4458.58</v>
          </cell>
        </row>
        <row r="1648">
          <cell r="A1648">
            <v>44452</v>
          </cell>
          <cell r="B1648">
            <v>4474.8100000000004</v>
          </cell>
          <cell r="C1648">
            <v>4492.99</v>
          </cell>
          <cell r="D1648">
            <v>4445.7</v>
          </cell>
          <cell r="E1648">
            <v>4468.7299999999996</v>
          </cell>
          <cell r="F1648">
            <v>4468.7299999999996</v>
          </cell>
        </row>
        <row r="1649">
          <cell r="A1649">
            <v>44453</v>
          </cell>
          <cell r="B1649">
            <v>4479.33</v>
          </cell>
          <cell r="C1649">
            <v>4485.68</v>
          </cell>
          <cell r="D1649">
            <v>4435.46</v>
          </cell>
          <cell r="E1649">
            <v>4443.05</v>
          </cell>
          <cell r="F1649">
            <v>4443.05</v>
          </cell>
        </row>
        <row r="1650">
          <cell r="A1650">
            <v>44454</v>
          </cell>
          <cell r="B1650">
            <v>4447.49</v>
          </cell>
          <cell r="C1650">
            <v>4486.87</v>
          </cell>
          <cell r="D1650">
            <v>4438.37</v>
          </cell>
          <cell r="E1650">
            <v>4480.7</v>
          </cell>
          <cell r="F1650">
            <v>4480.7</v>
          </cell>
        </row>
        <row r="1651">
          <cell r="A1651">
            <v>44455</v>
          </cell>
          <cell r="B1651">
            <v>4477.09</v>
          </cell>
          <cell r="C1651">
            <v>4485.87</v>
          </cell>
          <cell r="D1651">
            <v>4443.8</v>
          </cell>
          <cell r="E1651">
            <v>4473.75</v>
          </cell>
          <cell r="F1651">
            <v>4473.75</v>
          </cell>
        </row>
        <row r="1652">
          <cell r="A1652">
            <v>44456</v>
          </cell>
          <cell r="B1652">
            <v>4469.74</v>
          </cell>
          <cell r="C1652">
            <v>4471.5200000000004</v>
          </cell>
          <cell r="D1652">
            <v>4427.76</v>
          </cell>
          <cell r="E1652">
            <v>4432.99</v>
          </cell>
          <cell r="F1652">
            <v>4432.99</v>
          </cell>
        </row>
        <row r="1653">
          <cell r="A1653">
            <v>44459</v>
          </cell>
          <cell r="B1653">
            <v>4402.95</v>
          </cell>
          <cell r="C1653">
            <v>4402.95</v>
          </cell>
          <cell r="D1653">
            <v>4305.91</v>
          </cell>
          <cell r="E1653">
            <v>4357.7299999999996</v>
          </cell>
          <cell r="F1653">
            <v>4357.7299999999996</v>
          </cell>
        </row>
        <row r="1654">
          <cell r="A1654">
            <v>44460</v>
          </cell>
          <cell r="B1654">
            <v>4374.45</v>
          </cell>
          <cell r="C1654">
            <v>4394.87</v>
          </cell>
          <cell r="D1654">
            <v>4347.96</v>
          </cell>
          <cell r="E1654">
            <v>4354.1899999999996</v>
          </cell>
          <cell r="F1654">
            <v>4354.1899999999996</v>
          </cell>
        </row>
        <row r="1655">
          <cell r="A1655">
            <v>44461</v>
          </cell>
          <cell r="B1655">
            <v>4367.43</v>
          </cell>
          <cell r="C1655">
            <v>4416.75</v>
          </cell>
          <cell r="D1655">
            <v>4367.43</v>
          </cell>
          <cell r="E1655">
            <v>4395.6400000000003</v>
          </cell>
          <cell r="F1655">
            <v>4395.6400000000003</v>
          </cell>
        </row>
        <row r="1656">
          <cell r="A1656">
            <v>44462</v>
          </cell>
          <cell r="B1656">
            <v>4406.75</v>
          </cell>
          <cell r="C1656">
            <v>4465.3999999999996</v>
          </cell>
          <cell r="D1656">
            <v>4406.75</v>
          </cell>
          <cell r="E1656">
            <v>4448.9799999999996</v>
          </cell>
          <cell r="F1656">
            <v>4448.9799999999996</v>
          </cell>
        </row>
        <row r="1657">
          <cell r="A1657">
            <v>44463</v>
          </cell>
          <cell r="B1657">
            <v>4438.04</v>
          </cell>
          <cell r="C1657">
            <v>4463.12</v>
          </cell>
          <cell r="D1657">
            <v>4430.2700000000004</v>
          </cell>
          <cell r="E1657">
            <v>4455.4799999999996</v>
          </cell>
          <cell r="F1657">
            <v>4455.4799999999996</v>
          </cell>
        </row>
        <row r="1658">
          <cell r="A1658">
            <v>44466</v>
          </cell>
          <cell r="B1658">
            <v>4442.12</v>
          </cell>
          <cell r="C1658">
            <v>4457.3</v>
          </cell>
          <cell r="D1658">
            <v>4436.1899999999996</v>
          </cell>
          <cell r="E1658">
            <v>4443.1099999999997</v>
          </cell>
          <cell r="F1658">
            <v>4443.1099999999997</v>
          </cell>
        </row>
        <row r="1659">
          <cell r="A1659">
            <v>44467</v>
          </cell>
          <cell r="B1659">
            <v>4419.54</v>
          </cell>
          <cell r="C1659">
            <v>4419.54</v>
          </cell>
          <cell r="D1659">
            <v>4346.33</v>
          </cell>
          <cell r="E1659">
            <v>4352.63</v>
          </cell>
          <cell r="F1659">
            <v>4352.63</v>
          </cell>
        </row>
        <row r="1660">
          <cell r="A1660">
            <v>44468</v>
          </cell>
          <cell r="B1660">
            <v>4362.41</v>
          </cell>
          <cell r="C1660">
            <v>4385.57</v>
          </cell>
          <cell r="D1660">
            <v>4355.08</v>
          </cell>
          <cell r="E1660">
            <v>4359.46</v>
          </cell>
          <cell r="F1660">
            <v>4359.46</v>
          </cell>
        </row>
        <row r="1661">
          <cell r="A1661">
            <v>44469</v>
          </cell>
          <cell r="B1661">
            <v>4370.67</v>
          </cell>
          <cell r="C1661">
            <v>4382.55</v>
          </cell>
          <cell r="D1661">
            <v>4306.24</v>
          </cell>
          <cell r="E1661">
            <v>4307.54</v>
          </cell>
          <cell r="F1661">
            <v>4307.54</v>
          </cell>
        </row>
        <row r="1662">
          <cell r="A1662">
            <v>44470</v>
          </cell>
          <cell r="B1662">
            <v>4317.16</v>
          </cell>
          <cell r="C1662">
            <v>4375.1899999999996</v>
          </cell>
          <cell r="D1662">
            <v>4288.5200000000004</v>
          </cell>
          <cell r="E1662">
            <v>4357.04</v>
          </cell>
          <cell r="F1662">
            <v>4357.04</v>
          </cell>
        </row>
        <row r="1663">
          <cell r="A1663">
            <v>44473</v>
          </cell>
          <cell r="B1663">
            <v>4348.84</v>
          </cell>
          <cell r="C1663">
            <v>4355.51</v>
          </cell>
          <cell r="D1663">
            <v>4278.9399999999996</v>
          </cell>
          <cell r="E1663">
            <v>4300.46</v>
          </cell>
          <cell r="F1663">
            <v>4300.46</v>
          </cell>
        </row>
        <row r="1664">
          <cell r="A1664">
            <v>44474</v>
          </cell>
          <cell r="B1664">
            <v>4309.87</v>
          </cell>
          <cell r="C1664">
            <v>4369.2299999999996</v>
          </cell>
          <cell r="D1664">
            <v>4309.87</v>
          </cell>
          <cell r="E1664">
            <v>4345.72</v>
          </cell>
          <cell r="F1664">
            <v>4345.72</v>
          </cell>
        </row>
        <row r="1665">
          <cell r="A1665">
            <v>44475</v>
          </cell>
          <cell r="B1665">
            <v>4319.57</v>
          </cell>
          <cell r="C1665">
            <v>4365.57</v>
          </cell>
          <cell r="D1665">
            <v>4290.49</v>
          </cell>
          <cell r="E1665">
            <v>4363.55</v>
          </cell>
          <cell r="F1665">
            <v>4363.55</v>
          </cell>
        </row>
        <row r="1666">
          <cell r="A1666">
            <v>44476</v>
          </cell>
          <cell r="B1666">
            <v>4383.7299999999996</v>
          </cell>
          <cell r="C1666">
            <v>4429.97</v>
          </cell>
          <cell r="D1666">
            <v>4383.7299999999996</v>
          </cell>
          <cell r="E1666">
            <v>4399.76</v>
          </cell>
          <cell r="F1666">
            <v>4399.76</v>
          </cell>
        </row>
        <row r="1667">
          <cell r="A1667">
            <v>44477</v>
          </cell>
          <cell r="B1667">
            <v>4406.51</v>
          </cell>
          <cell r="C1667">
            <v>4412.0200000000004</v>
          </cell>
          <cell r="D1667">
            <v>4386.22</v>
          </cell>
          <cell r="E1667">
            <v>4391.34</v>
          </cell>
          <cell r="F1667">
            <v>4391.34</v>
          </cell>
        </row>
        <row r="1668">
          <cell r="A1668">
            <v>44480</v>
          </cell>
          <cell r="B1668">
            <v>4385.4399999999996</v>
          </cell>
          <cell r="C1668">
            <v>4415.88</v>
          </cell>
          <cell r="D1668">
            <v>4360.59</v>
          </cell>
          <cell r="E1668">
            <v>4361.1899999999996</v>
          </cell>
          <cell r="F1668">
            <v>4361.1899999999996</v>
          </cell>
        </row>
        <row r="1669">
          <cell r="A1669">
            <v>44481</v>
          </cell>
          <cell r="B1669">
            <v>4368.3100000000004</v>
          </cell>
          <cell r="C1669">
            <v>4374.8900000000003</v>
          </cell>
          <cell r="D1669">
            <v>4342.09</v>
          </cell>
          <cell r="E1669">
            <v>4350.6499999999996</v>
          </cell>
          <cell r="F1669">
            <v>4350.6499999999996</v>
          </cell>
        </row>
        <row r="1670">
          <cell r="A1670">
            <v>44482</v>
          </cell>
          <cell r="B1670">
            <v>4358.01</v>
          </cell>
          <cell r="C1670">
            <v>4372.87</v>
          </cell>
          <cell r="D1670">
            <v>4329.92</v>
          </cell>
          <cell r="E1670">
            <v>4363.8</v>
          </cell>
          <cell r="F1670">
            <v>4363.8</v>
          </cell>
        </row>
        <row r="1671">
          <cell r="A1671">
            <v>44483</v>
          </cell>
          <cell r="B1671">
            <v>4386.75</v>
          </cell>
          <cell r="C1671">
            <v>4439.7299999999996</v>
          </cell>
          <cell r="D1671">
            <v>4386.75</v>
          </cell>
          <cell r="E1671">
            <v>4438.26</v>
          </cell>
          <cell r="F1671">
            <v>4438.26</v>
          </cell>
        </row>
        <row r="1672">
          <cell r="A1672">
            <v>44484</v>
          </cell>
          <cell r="B1672">
            <v>4447.6899999999996</v>
          </cell>
          <cell r="C1672">
            <v>4475.82</v>
          </cell>
          <cell r="D1672">
            <v>4447.6899999999996</v>
          </cell>
          <cell r="E1672">
            <v>4471.37</v>
          </cell>
          <cell r="F1672">
            <v>4471.37</v>
          </cell>
        </row>
        <row r="1673">
          <cell r="A1673">
            <v>44487</v>
          </cell>
          <cell r="B1673">
            <v>4463.72</v>
          </cell>
          <cell r="C1673">
            <v>4488.75</v>
          </cell>
          <cell r="D1673">
            <v>4447.47</v>
          </cell>
          <cell r="E1673">
            <v>4486.46</v>
          </cell>
          <cell r="F1673">
            <v>4486.46</v>
          </cell>
        </row>
        <row r="1674">
          <cell r="A1674">
            <v>44488</v>
          </cell>
          <cell r="B1674">
            <v>4497.34</v>
          </cell>
          <cell r="C1674">
            <v>4520.3999999999996</v>
          </cell>
          <cell r="D1674">
            <v>4496.41</v>
          </cell>
          <cell r="E1674">
            <v>4519.63</v>
          </cell>
          <cell r="F1674">
            <v>4519.63</v>
          </cell>
        </row>
        <row r="1675">
          <cell r="A1675">
            <v>44489</v>
          </cell>
          <cell r="B1675">
            <v>4524.42</v>
          </cell>
          <cell r="C1675">
            <v>4540.87</v>
          </cell>
          <cell r="D1675">
            <v>4524.3999999999996</v>
          </cell>
          <cell r="E1675">
            <v>4536.1899999999996</v>
          </cell>
          <cell r="F1675">
            <v>4536.1899999999996</v>
          </cell>
        </row>
        <row r="1676">
          <cell r="A1676">
            <v>44490</v>
          </cell>
          <cell r="B1676">
            <v>4532.24</v>
          </cell>
          <cell r="C1676">
            <v>4551.4399999999996</v>
          </cell>
          <cell r="D1676">
            <v>4526.8900000000003</v>
          </cell>
          <cell r="E1676">
            <v>4549.78</v>
          </cell>
          <cell r="F1676">
            <v>4549.78</v>
          </cell>
        </row>
        <row r="1677">
          <cell r="A1677">
            <v>44491</v>
          </cell>
          <cell r="B1677">
            <v>4546.12</v>
          </cell>
          <cell r="C1677">
            <v>4559.67</v>
          </cell>
          <cell r="D1677">
            <v>4524</v>
          </cell>
          <cell r="E1677">
            <v>4544.8999999999996</v>
          </cell>
          <cell r="F1677">
            <v>4544.8999999999996</v>
          </cell>
        </row>
        <row r="1678">
          <cell r="A1678">
            <v>44494</v>
          </cell>
          <cell r="B1678">
            <v>4553.6899999999996</v>
          </cell>
          <cell r="C1678">
            <v>4572.62</v>
          </cell>
          <cell r="D1678">
            <v>4537.3599999999997</v>
          </cell>
          <cell r="E1678">
            <v>4566.4799999999996</v>
          </cell>
          <cell r="F1678">
            <v>4566.4799999999996</v>
          </cell>
        </row>
        <row r="1679">
          <cell r="A1679">
            <v>44495</v>
          </cell>
          <cell r="B1679">
            <v>4578.6899999999996</v>
          </cell>
          <cell r="C1679">
            <v>4598.53</v>
          </cell>
          <cell r="D1679">
            <v>4569.17</v>
          </cell>
          <cell r="E1679">
            <v>4574.79</v>
          </cell>
          <cell r="F1679">
            <v>4574.79</v>
          </cell>
        </row>
        <row r="1680">
          <cell r="A1680">
            <v>44496</v>
          </cell>
          <cell r="B1680">
            <v>4580.22</v>
          </cell>
          <cell r="C1680">
            <v>4584.57</v>
          </cell>
          <cell r="D1680">
            <v>4551.66</v>
          </cell>
          <cell r="E1680">
            <v>4551.68</v>
          </cell>
          <cell r="F1680">
            <v>4551.68</v>
          </cell>
        </row>
        <row r="1681">
          <cell r="A1681">
            <v>44497</v>
          </cell>
          <cell r="B1681">
            <v>4562.84</v>
          </cell>
          <cell r="C1681">
            <v>4597.55</v>
          </cell>
          <cell r="D1681">
            <v>4562.84</v>
          </cell>
          <cell r="E1681">
            <v>4596.42</v>
          </cell>
          <cell r="F1681">
            <v>4596.42</v>
          </cell>
        </row>
        <row r="1682">
          <cell r="A1682">
            <v>44498</v>
          </cell>
          <cell r="B1682">
            <v>4572.87</v>
          </cell>
          <cell r="C1682">
            <v>4608.08</v>
          </cell>
          <cell r="D1682">
            <v>4567.59</v>
          </cell>
          <cell r="E1682">
            <v>4605.38</v>
          </cell>
          <cell r="F1682">
            <v>4605.38</v>
          </cell>
        </row>
        <row r="1683">
          <cell r="A1683">
            <v>44501</v>
          </cell>
          <cell r="B1683">
            <v>4610.62</v>
          </cell>
          <cell r="C1683">
            <v>4620.34</v>
          </cell>
          <cell r="D1683">
            <v>4595.0600000000004</v>
          </cell>
          <cell r="E1683">
            <v>4613.67</v>
          </cell>
          <cell r="F1683">
            <v>4613.67</v>
          </cell>
        </row>
        <row r="1684">
          <cell r="A1684">
            <v>44502</v>
          </cell>
          <cell r="B1684">
            <v>4613.34</v>
          </cell>
          <cell r="C1684">
            <v>4635.1499999999996</v>
          </cell>
          <cell r="D1684">
            <v>4613.34</v>
          </cell>
          <cell r="E1684">
            <v>4630.6499999999996</v>
          </cell>
          <cell r="F1684">
            <v>4630.6499999999996</v>
          </cell>
        </row>
        <row r="1685">
          <cell r="A1685">
            <v>44503</v>
          </cell>
          <cell r="B1685">
            <v>4630.6499999999996</v>
          </cell>
          <cell r="C1685">
            <v>4663.46</v>
          </cell>
          <cell r="D1685">
            <v>4621.1899999999996</v>
          </cell>
          <cell r="E1685">
            <v>4660.57</v>
          </cell>
          <cell r="F1685">
            <v>4660.57</v>
          </cell>
        </row>
        <row r="1686">
          <cell r="A1686">
            <v>44504</v>
          </cell>
          <cell r="B1686">
            <v>4662.93</v>
          </cell>
          <cell r="C1686">
            <v>4683</v>
          </cell>
          <cell r="D1686">
            <v>4662.59</v>
          </cell>
          <cell r="E1686">
            <v>4680.0600000000004</v>
          </cell>
          <cell r="F1686">
            <v>4680.0600000000004</v>
          </cell>
        </row>
        <row r="1687">
          <cell r="A1687">
            <v>44505</v>
          </cell>
          <cell r="B1687">
            <v>4699.26</v>
          </cell>
          <cell r="C1687">
            <v>4718.5</v>
          </cell>
          <cell r="D1687">
            <v>4681.32</v>
          </cell>
          <cell r="E1687">
            <v>4697.53</v>
          </cell>
          <cell r="F1687">
            <v>4697.53</v>
          </cell>
        </row>
        <row r="1688">
          <cell r="A1688">
            <v>44508</v>
          </cell>
          <cell r="B1688">
            <v>4701.4799999999996</v>
          </cell>
          <cell r="C1688">
            <v>4714.92</v>
          </cell>
          <cell r="D1688">
            <v>4694.3900000000003</v>
          </cell>
          <cell r="E1688">
            <v>4701.7</v>
          </cell>
          <cell r="F1688">
            <v>4701.7</v>
          </cell>
        </row>
        <row r="1689">
          <cell r="A1689">
            <v>44509</v>
          </cell>
          <cell r="B1689">
            <v>4707.25</v>
          </cell>
          <cell r="C1689">
            <v>4708.53</v>
          </cell>
          <cell r="D1689">
            <v>4670.87</v>
          </cell>
          <cell r="E1689">
            <v>4685.25</v>
          </cell>
          <cell r="F1689">
            <v>4685.25</v>
          </cell>
        </row>
        <row r="1690">
          <cell r="A1690">
            <v>44510</v>
          </cell>
          <cell r="B1690">
            <v>4670.26</v>
          </cell>
          <cell r="C1690">
            <v>4684.8500000000004</v>
          </cell>
          <cell r="D1690">
            <v>4630.8599999999997</v>
          </cell>
          <cell r="E1690">
            <v>4646.71</v>
          </cell>
          <cell r="F1690">
            <v>4646.71</v>
          </cell>
        </row>
        <row r="1691">
          <cell r="A1691">
            <v>44511</v>
          </cell>
          <cell r="B1691">
            <v>4659.3900000000003</v>
          </cell>
          <cell r="C1691">
            <v>4664.55</v>
          </cell>
          <cell r="D1691">
            <v>4648.3100000000004</v>
          </cell>
          <cell r="E1691">
            <v>4649.2700000000004</v>
          </cell>
          <cell r="F1691">
            <v>4649.2700000000004</v>
          </cell>
        </row>
        <row r="1692">
          <cell r="A1692">
            <v>44512</v>
          </cell>
          <cell r="B1692">
            <v>4655.24</v>
          </cell>
          <cell r="C1692">
            <v>4688.47</v>
          </cell>
          <cell r="D1692">
            <v>4650.7700000000004</v>
          </cell>
          <cell r="E1692">
            <v>4682.8500000000004</v>
          </cell>
          <cell r="F1692">
            <v>4682.8500000000004</v>
          </cell>
        </row>
        <row r="1693">
          <cell r="A1693">
            <v>44515</v>
          </cell>
          <cell r="B1693">
            <v>4689.3</v>
          </cell>
          <cell r="C1693">
            <v>4697.42</v>
          </cell>
          <cell r="D1693">
            <v>4672.8599999999997</v>
          </cell>
          <cell r="E1693">
            <v>4682.8</v>
          </cell>
          <cell r="F1693">
            <v>4682.8</v>
          </cell>
        </row>
        <row r="1694">
          <cell r="A1694">
            <v>44516</v>
          </cell>
          <cell r="B1694">
            <v>4679.42</v>
          </cell>
          <cell r="C1694">
            <v>4714.95</v>
          </cell>
          <cell r="D1694">
            <v>4679.42</v>
          </cell>
          <cell r="E1694">
            <v>4700.8999999999996</v>
          </cell>
          <cell r="F1694">
            <v>4700.8999999999996</v>
          </cell>
        </row>
        <row r="1695">
          <cell r="A1695">
            <v>44517</v>
          </cell>
          <cell r="B1695">
            <v>4701.5</v>
          </cell>
          <cell r="C1695">
            <v>4701.5</v>
          </cell>
          <cell r="D1695">
            <v>4684.41</v>
          </cell>
          <cell r="E1695">
            <v>4688.67</v>
          </cell>
          <cell r="F1695">
            <v>4688.67</v>
          </cell>
        </row>
        <row r="1696">
          <cell r="A1696">
            <v>44518</v>
          </cell>
          <cell r="B1696">
            <v>4700.72</v>
          </cell>
          <cell r="C1696">
            <v>4708.8</v>
          </cell>
          <cell r="D1696">
            <v>4672.78</v>
          </cell>
          <cell r="E1696">
            <v>4704.54</v>
          </cell>
          <cell r="F1696">
            <v>4704.54</v>
          </cell>
        </row>
        <row r="1697">
          <cell r="A1697">
            <v>44519</v>
          </cell>
          <cell r="B1697">
            <v>4708.4399999999996</v>
          </cell>
          <cell r="C1697">
            <v>4717.75</v>
          </cell>
          <cell r="D1697">
            <v>4694.22</v>
          </cell>
          <cell r="E1697">
            <v>4697.96</v>
          </cell>
          <cell r="F1697">
            <v>4697.96</v>
          </cell>
        </row>
        <row r="1698">
          <cell r="A1698">
            <v>44522</v>
          </cell>
          <cell r="B1698">
            <v>4712</v>
          </cell>
          <cell r="C1698">
            <v>4743.83</v>
          </cell>
          <cell r="D1698">
            <v>4682.17</v>
          </cell>
          <cell r="E1698">
            <v>4682.9399999999996</v>
          </cell>
          <cell r="F1698">
            <v>4682.9399999999996</v>
          </cell>
        </row>
        <row r="1699">
          <cell r="A1699">
            <v>44523</v>
          </cell>
          <cell r="B1699">
            <v>4678.4799999999996</v>
          </cell>
          <cell r="C1699">
            <v>4699.3900000000003</v>
          </cell>
          <cell r="D1699">
            <v>4652.66</v>
          </cell>
          <cell r="E1699">
            <v>4690.7</v>
          </cell>
          <cell r="F1699">
            <v>4690.7</v>
          </cell>
        </row>
        <row r="1700">
          <cell r="A1700">
            <v>44524</v>
          </cell>
          <cell r="B1700">
            <v>4675.78</v>
          </cell>
          <cell r="C1700">
            <v>4702.87</v>
          </cell>
          <cell r="D1700">
            <v>4659.8900000000003</v>
          </cell>
          <cell r="E1700">
            <v>4701.46</v>
          </cell>
          <cell r="F1700">
            <v>4701.46</v>
          </cell>
        </row>
        <row r="1701">
          <cell r="A1701">
            <v>44526</v>
          </cell>
          <cell r="B1701">
            <v>4664.63</v>
          </cell>
          <cell r="C1701">
            <v>4664.63</v>
          </cell>
          <cell r="D1701">
            <v>4585.43</v>
          </cell>
          <cell r="E1701">
            <v>4594.62</v>
          </cell>
          <cell r="F1701">
            <v>4594.62</v>
          </cell>
        </row>
        <row r="1702">
          <cell r="A1702">
            <v>44529</v>
          </cell>
          <cell r="B1702">
            <v>4628.75</v>
          </cell>
          <cell r="C1702">
            <v>4672.95</v>
          </cell>
          <cell r="D1702">
            <v>4625.26</v>
          </cell>
          <cell r="E1702">
            <v>4655.2700000000004</v>
          </cell>
          <cell r="F1702">
            <v>4655.2700000000004</v>
          </cell>
        </row>
        <row r="1703">
          <cell r="A1703">
            <v>44530</v>
          </cell>
          <cell r="B1703">
            <v>4640.25</v>
          </cell>
          <cell r="C1703">
            <v>4646.0200000000004</v>
          </cell>
          <cell r="D1703">
            <v>4560</v>
          </cell>
          <cell r="E1703">
            <v>4567</v>
          </cell>
          <cell r="F1703">
            <v>4567</v>
          </cell>
        </row>
        <row r="1704">
          <cell r="A1704">
            <v>44531</v>
          </cell>
          <cell r="B1704">
            <v>4602.82</v>
          </cell>
          <cell r="C1704">
            <v>4652.9399999999996</v>
          </cell>
          <cell r="D1704">
            <v>4510.2700000000004</v>
          </cell>
          <cell r="E1704">
            <v>4513.04</v>
          </cell>
          <cell r="F1704">
            <v>4513.04</v>
          </cell>
        </row>
        <row r="1705">
          <cell r="A1705">
            <v>44532</v>
          </cell>
          <cell r="B1705">
            <v>4504.7299999999996</v>
          </cell>
          <cell r="C1705">
            <v>4595.46</v>
          </cell>
          <cell r="D1705">
            <v>4504.7299999999996</v>
          </cell>
          <cell r="E1705">
            <v>4577.1000000000004</v>
          </cell>
          <cell r="F1705">
            <v>4577.1000000000004</v>
          </cell>
        </row>
        <row r="1706">
          <cell r="A1706">
            <v>44533</v>
          </cell>
          <cell r="B1706">
            <v>4589.49</v>
          </cell>
          <cell r="C1706">
            <v>4608.03</v>
          </cell>
          <cell r="D1706">
            <v>4495.12</v>
          </cell>
          <cell r="E1706">
            <v>4538.43</v>
          </cell>
          <cell r="F1706">
            <v>4538.43</v>
          </cell>
        </row>
        <row r="1707">
          <cell r="A1707">
            <v>44536</v>
          </cell>
          <cell r="B1707">
            <v>4548.37</v>
          </cell>
          <cell r="C1707">
            <v>4612.6000000000004</v>
          </cell>
          <cell r="D1707">
            <v>4540.51</v>
          </cell>
          <cell r="E1707">
            <v>4591.67</v>
          </cell>
          <cell r="F1707">
            <v>4591.67</v>
          </cell>
        </row>
        <row r="1708">
          <cell r="A1708">
            <v>44537</v>
          </cell>
          <cell r="B1708">
            <v>4631.97</v>
          </cell>
          <cell r="C1708">
            <v>4694.04</v>
          </cell>
          <cell r="D1708">
            <v>4631.97</v>
          </cell>
          <cell r="E1708">
            <v>4686.75</v>
          </cell>
          <cell r="F1708">
            <v>4686.75</v>
          </cell>
        </row>
        <row r="1709">
          <cell r="A1709">
            <v>44538</v>
          </cell>
          <cell r="B1709">
            <v>4690.8599999999997</v>
          </cell>
          <cell r="C1709">
            <v>4705.0600000000004</v>
          </cell>
          <cell r="D1709">
            <v>4674.5200000000004</v>
          </cell>
          <cell r="E1709">
            <v>4701.21</v>
          </cell>
          <cell r="F1709">
            <v>4701.21</v>
          </cell>
        </row>
        <row r="1710">
          <cell r="A1710">
            <v>44539</v>
          </cell>
          <cell r="B1710">
            <v>4691</v>
          </cell>
          <cell r="C1710">
            <v>4695.26</v>
          </cell>
          <cell r="D1710">
            <v>4665.9799999999996</v>
          </cell>
          <cell r="E1710">
            <v>4667.45</v>
          </cell>
          <cell r="F1710">
            <v>4667.45</v>
          </cell>
        </row>
        <row r="1711">
          <cell r="A1711">
            <v>44540</v>
          </cell>
          <cell r="B1711">
            <v>4687.6400000000003</v>
          </cell>
          <cell r="C1711">
            <v>4713.57</v>
          </cell>
          <cell r="D1711">
            <v>4670.24</v>
          </cell>
          <cell r="E1711">
            <v>4712.0200000000004</v>
          </cell>
          <cell r="F1711">
            <v>4712.0200000000004</v>
          </cell>
        </row>
        <row r="1712">
          <cell r="A1712">
            <v>44543</v>
          </cell>
          <cell r="B1712">
            <v>4710.3</v>
          </cell>
          <cell r="C1712">
            <v>4710.3</v>
          </cell>
          <cell r="D1712">
            <v>4667.6000000000004</v>
          </cell>
          <cell r="E1712">
            <v>4668.97</v>
          </cell>
          <cell r="F1712">
            <v>4668.97</v>
          </cell>
        </row>
        <row r="1713">
          <cell r="A1713">
            <v>44544</v>
          </cell>
          <cell r="B1713">
            <v>4642.99</v>
          </cell>
          <cell r="C1713">
            <v>4660.47</v>
          </cell>
          <cell r="D1713">
            <v>4606.5200000000004</v>
          </cell>
          <cell r="E1713">
            <v>4634.09</v>
          </cell>
          <cell r="F1713">
            <v>4634.09</v>
          </cell>
        </row>
        <row r="1714">
          <cell r="A1714">
            <v>44545</v>
          </cell>
          <cell r="B1714">
            <v>4636.46</v>
          </cell>
          <cell r="C1714">
            <v>4712.6000000000004</v>
          </cell>
          <cell r="D1714">
            <v>4611.22</v>
          </cell>
          <cell r="E1714">
            <v>4709.8500000000004</v>
          </cell>
          <cell r="F1714">
            <v>4709.8500000000004</v>
          </cell>
        </row>
        <row r="1715">
          <cell r="A1715">
            <v>44546</v>
          </cell>
          <cell r="B1715">
            <v>4719.13</v>
          </cell>
          <cell r="C1715">
            <v>4731.99</v>
          </cell>
          <cell r="D1715">
            <v>4651.8900000000003</v>
          </cell>
          <cell r="E1715">
            <v>4668.67</v>
          </cell>
          <cell r="F1715">
            <v>4668.67</v>
          </cell>
        </row>
        <row r="1716">
          <cell r="A1716">
            <v>44547</v>
          </cell>
          <cell r="B1716">
            <v>4652.5</v>
          </cell>
          <cell r="C1716">
            <v>4666.7</v>
          </cell>
          <cell r="D1716">
            <v>4600.22</v>
          </cell>
          <cell r="E1716">
            <v>4620.6400000000003</v>
          </cell>
          <cell r="F1716">
            <v>4620.6400000000003</v>
          </cell>
        </row>
        <row r="1717">
          <cell r="A1717">
            <v>44550</v>
          </cell>
          <cell r="B1717">
            <v>4587.8999999999996</v>
          </cell>
          <cell r="C1717">
            <v>4587.8999999999996</v>
          </cell>
          <cell r="D1717">
            <v>4531.1000000000004</v>
          </cell>
          <cell r="E1717">
            <v>4568.0200000000004</v>
          </cell>
          <cell r="F1717">
            <v>4568.0200000000004</v>
          </cell>
        </row>
        <row r="1718">
          <cell r="A1718">
            <v>44551</v>
          </cell>
          <cell r="B1718">
            <v>4594.96</v>
          </cell>
          <cell r="C1718">
            <v>4651.1400000000003</v>
          </cell>
          <cell r="D1718">
            <v>4583.16</v>
          </cell>
          <cell r="E1718">
            <v>4649.2299999999996</v>
          </cell>
          <cell r="F1718">
            <v>4649.2299999999996</v>
          </cell>
        </row>
        <row r="1719">
          <cell r="A1719">
            <v>44552</v>
          </cell>
          <cell r="B1719">
            <v>4650.3599999999997</v>
          </cell>
          <cell r="C1719">
            <v>4697.67</v>
          </cell>
          <cell r="D1719">
            <v>4645.53</v>
          </cell>
          <cell r="E1719">
            <v>4696.5600000000004</v>
          </cell>
          <cell r="F1719">
            <v>4696.5600000000004</v>
          </cell>
        </row>
        <row r="1720">
          <cell r="A1720">
            <v>44553</v>
          </cell>
          <cell r="B1720">
            <v>4703.96</v>
          </cell>
          <cell r="C1720">
            <v>4740.74</v>
          </cell>
          <cell r="D1720">
            <v>4703.96</v>
          </cell>
          <cell r="E1720">
            <v>4725.79</v>
          </cell>
          <cell r="F1720">
            <v>4725.79</v>
          </cell>
        </row>
        <row r="1721">
          <cell r="A1721">
            <v>44557</v>
          </cell>
          <cell r="B1721">
            <v>4733.99</v>
          </cell>
          <cell r="C1721">
            <v>4791.49</v>
          </cell>
          <cell r="D1721">
            <v>4733.99</v>
          </cell>
          <cell r="E1721">
            <v>4791.1899999999996</v>
          </cell>
          <cell r="F1721">
            <v>4791.1899999999996</v>
          </cell>
        </row>
        <row r="1722">
          <cell r="A1722">
            <v>44558</v>
          </cell>
          <cell r="B1722">
            <v>4795.49</v>
          </cell>
          <cell r="C1722">
            <v>4807.0200000000004</v>
          </cell>
          <cell r="D1722">
            <v>4780.04</v>
          </cell>
          <cell r="E1722">
            <v>4786.3500000000004</v>
          </cell>
          <cell r="F1722">
            <v>4786.3500000000004</v>
          </cell>
        </row>
        <row r="1723">
          <cell r="A1723">
            <v>44559</v>
          </cell>
          <cell r="B1723">
            <v>4788.6400000000003</v>
          </cell>
          <cell r="C1723">
            <v>4804.0600000000004</v>
          </cell>
          <cell r="D1723">
            <v>4778.08</v>
          </cell>
          <cell r="E1723">
            <v>4793.0600000000004</v>
          </cell>
          <cell r="F1723">
            <v>4793.0600000000004</v>
          </cell>
        </row>
        <row r="1724">
          <cell r="A1724">
            <v>44560</v>
          </cell>
          <cell r="B1724">
            <v>4794.2299999999996</v>
          </cell>
          <cell r="C1724">
            <v>4808.93</v>
          </cell>
          <cell r="D1724">
            <v>4775.33</v>
          </cell>
          <cell r="E1724">
            <v>4778.7299999999996</v>
          </cell>
          <cell r="F1724">
            <v>4778.7299999999996</v>
          </cell>
        </row>
        <row r="1725">
          <cell r="A1725">
            <v>44561</v>
          </cell>
          <cell r="B1725">
            <v>4775.21</v>
          </cell>
          <cell r="C1725">
            <v>4786.83</v>
          </cell>
          <cell r="D1725">
            <v>4765.75</v>
          </cell>
          <cell r="E1725">
            <v>4766.18</v>
          </cell>
          <cell r="F1725">
            <v>4766.18</v>
          </cell>
        </row>
        <row r="1726">
          <cell r="A1726">
            <v>44564</v>
          </cell>
          <cell r="B1726">
            <v>4778.1400000000003</v>
          </cell>
          <cell r="C1726">
            <v>4796.6400000000003</v>
          </cell>
          <cell r="D1726">
            <v>4758.17</v>
          </cell>
          <cell r="E1726">
            <v>4796.5600000000004</v>
          </cell>
          <cell r="F1726">
            <v>4796.5600000000004</v>
          </cell>
        </row>
        <row r="1727">
          <cell r="A1727">
            <v>44565</v>
          </cell>
          <cell r="B1727">
            <v>4804.51</v>
          </cell>
          <cell r="C1727">
            <v>4818.62</v>
          </cell>
          <cell r="D1727">
            <v>4774.2700000000004</v>
          </cell>
          <cell r="E1727">
            <v>4793.54</v>
          </cell>
          <cell r="F1727">
            <v>4793.54</v>
          </cell>
        </row>
        <row r="1728">
          <cell r="A1728">
            <v>44566</v>
          </cell>
          <cell r="B1728">
            <v>4787.99</v>
          </cell>
          <cell r="C1728">
            <v>4797.7</v>
          </cell>
          <cell r="D1728">
            <v>4699.4399999999996</v>
          </cell>
          <cell r="E1728">
            <v>4700.58</v>
          </cell>
          <cell r="F1728">
            <v>4700.58</v>
          </cell>
        </row>
        <row r="1729">
          <cell r="A1729">
            <v>44567</v>
          </cell>
          <cell r="B1729">
            <v>4693.3900000000003</v>
          </cell>
          <cell r="C1729">
            <v>4725.01</v>
          </cell>
          <cell r="D1729">
            <v>4671.26</v>
          </cell>
          <cell r="E1729">
            <v>4696.05</v>
          </cell>
          <cell r="F1729">
            <v>4696.05</v>
          </cell>
        </row>
        <row r="1730">
          <cell r="A1730">
            <v>44568</v>
          </cell>
          <cell r="B1730">
            <v>4697.66</v>
          </cell>
          <cell r="C1730">
            <v>4707.95</v>
          </cell>
          <cell r="D1730">
            <v>4662.74</v>
          </cell>
          <cell r="E1730">
            <v>4677.03</v>
          </cell>
          <cell r="F1730">
            <v>4677.03</v>
          </cell>
        </row>
        <row r="1731">
          <cell r="A1731">
            <v>44571</v>
          </cell>
          <cell r="B1731">
            <v>4655.34</v>
          </cell>
          <cell r="C1731">
            <v>4673.0200000000004</v>
          </cell>
          <cell r="D1731">
            <v>4582.24</v>
          </cell>
          <cell r="E1731">
            <v>4670.29</v>
          </cell>
          <cell r="F1731">
            <v>4670.29</v>
          </cell>
        </row>
        <row r="1732">
          <cell r="A1732">
            <v>44572</v>
          </cell>
          <cell r="B1732">
            <v>4669.1400000000003</v>
          </cell>
          <cell r="C1732">
            <v>4714.13</v>
          </cell>
          <cell r="D1732">
            <v>4638.2700000000004</v>
          </cell>
          <cell r="E1732">
            <v>4713.07</v>
          </cell>
          <cell r="F1732">
            <v>4713.07</v>
          </cell>
        </row>
        <row r="1733">
          <cell r="A1733">
            <v>44573</v>
          </cell>
          <cell r="B1733">
            <v>4728.59</v>
          </cell>
          <cell r="C1733">
            <v>4748.83</v>
          </cell>
          <cell r="D1733">
            <v>4706.71</v>
          </cell>
          <cell r="E1733">
            <v>4726.3500000000004</v>
          </cell>
          <cell r="F1733">
            <v>4726.3500000000004</v>
          </cell>
        </row>
        <row r="1734">
          <cell r="A1734">
            <v>44574</v>
          </cell>
          <cell r="B1734">
            <v>4733.5600000000004</v>
          </cell>
          <cell r="C1734">
            <v>4744.13</v>
          </cell>
          <cell r="D1734">
            <v>4650.29</v>
          </cell>
          <cell r="E1734">
            <v>4659.03</v>
          </cell>
          <cell r="F1734">
            <v>4659.03</v>
          </cell>
        </row>
        <row r="1735">
          <cell r="A1735">
            <v>44575</v>
          </cell>
          <cell r="B1735">
            <v>4637.99</v>
          </cell>
          <cell r="C1735">
            <v>4665.13</v>
          </cell>
          <cell r="D1735">
            <v>4614.75</v>
          </cell>
          <cell r="E1735">
            <v>4662.8500000000004</v>
          </cell>
          <cell r="F1735">
            <v>4662.8500000000004</v>
          </cell>
        </row>
        <row r="1736">
          <cell r="A1736">
            <v>44579</v>
          </cell>
          <cell r="B1736">
            <v>4632.24</v>
          </cell>
          <cell r="C1736">
            <v>4632.24</v>
          </cell>
          <cell r="D1736">
            <v>4568.7</v>
          </cell>
          <cell r="E1736">
            <v>4577.1099999999997</v>
          </cell>
          <cell r="F1736">
            <v>4577.1099999999997</v>
          </cell>
        </row>
        <row r="1737">
          <cell r="A1737">
            <v>44580</v>
          </cell>
          <cell r="B1737">
            <v>4588.03</v>
          </cell>
          <cell r="C1737">
            <v>4611.55</v>
          </cell>
          <cell r="D1737">
            <v>4530.2</v>
          </cell>
          <cell r="E1737">
            <v>4532.76</v>
          </cell>
          <cell r="F1737">
            <v>4532.76</v>
          </cell>
        </row>
        <row r="1738">
          <cell r="A1738">
            <v>44581</v>
          </cell>
          <cell r="B1738">
            <v>4547.3500000000004</v>
          </cell>
          <cell r="C1738">
            <v>4602.1099999999997</v>
          </cell>
          <cell r="D1738">
            <v>4477.95</v>
          </cell>
          <cell r="E1738">
            <v>4482.7299999999996</v>
          </cell>
          <cell r="F1738">
            <v>4482.7299999999996</v>
          </cell>
        </row>
        <row r="1739">
          <cell r="A1739">
            <v>44582</v>
          </cell>
          <cell r="B1739">
            <v>4471.38</v>
          </cell>
          <cell r="C1739">
            <v>4494.5200000000004</v>
          </cell>
          <cell r="D1739">
            <v>4395.34</v>
          </cell>
          <cell r="E1739">
            <v>4397.9399999999996</v>
          </cell>
          <cell r="F1739">
            <v>4397.9399999999996</v>
          </cell>
        </row>
        <row r="1740">
          <cell r="A1740">
            <v>44585</v>
          </cell>
          <cell r="B1740">
            <v>4356.32</v>
          </cell>
          <cell r="C1740">
            <v>4417.3500000000004</v>
          </cell>
          <cell r="D1740">
            <v>4222.62</v>
          </cell>
          <cell r="E1740">
            <v>4410.13</v>
          </cell>
          <cell r="F1740">
            <v>4410.13</v>
          </cell>
        </row>
        <row r="1741">
          <cell r="A1741">
            <v>44586</v>
          </cell>
          <cell r="B1741">
            <v>4366.6400000000003</v>
          </cell>
          <cell r="C1741">
            <v>4411.01</v>
          </cell>
          <cell r="D1741">
            <v>4287.1099999999997</v>
          </cell>
          <cell r="E1741">
            <v>4356.45</v>
          </cell>
          <cell r="F1741">
            <v>4356.45</v>
          </cell>
        </row>
        <row r="1742">
          <cell r="A1742">
            <v>44587</v>
          </cell>
          <cell r="B1742">
            <v>4408.43</v>
          </cell>
          <cell r="C1742">
            <v>4453.2299999999996</v>
          </cell>
          <cell r="D1742">
            <v>4304.8</v>
          </cell>
          <cell r="E1742">
            <v>4349.93</v>
          </cell>
          <cell r="F1742">
            <v>4349.93</v>
          </cell>
        </row>
        <row r="1743">
          <cell r="A1743">
            <v>44588</v>
          </cell>
          <cell r="B1743">
            <v>4380.58</v>
          </cell>
          <cell r="C1743">
            <v>4428.74</v>
          </cell>
          <cell r="D1743">
            <v>4309.5</v>
          </cell>
          <cell r="E1743">
            <v>4326.51</v>
          </cell>
          <cell r="F1743">
            <v>4326.51</v>
          </cell>
        </row>
        <row r="1744">
          <cell r="A1744">
            <v>44589</v>
          </cell>
          <cell r="B1744">
            <v>4336.1899999999996</v>
          </cell>
          <cell r="C1744">
            <v>4432.72</v>
          </cell>
          <cell r="D1744">
            <v>4292.46</v>
          </cell>
          <cell r="E1744">
            <v>4431.8500000000004</v>
          </cell>
          <cell r="F1744">
            <v>4431.8500000000004</v>
          </cell>
        </row>
        <row r="1745">
          <cell r="A1745">
            <v>44592</v>
          </cell>
          <cell r="B1745">
            <v>4431.79</v>
          </cell>
          <cell r="C1745">
            <v>4516.8900000000003</v>
          </cell>
          <cell r="D1745">
            <v>4414.0200000000004</v>
          </cell>
          <cell r="E1745">
            <v>4515.55</v>
          </cell>
          <cell r="F1745">
            <v>4515.55</v>
          </cell>
        </row>
        <row r="1746">
          <cell r="A1746">
            <v>44593</v>
          </cell>
          <cell r="B1746">
            <v>4519.57</v>
          </cell>
          <cell r="C1746">
            <v>4550.49</v>
          </cell>
          <cell r="D1746">
            <v>4483.53</v>
          </cell>
          <cell r="E1746">
            <v>4546.54</v>
          </cell>
          <cell r="F1746">
            <v>4546.54</v>
          </cell>
        </row>
        <row r="1747">
          <cell r="A1747">
            <v>44594</v>
          </cell>
          <cell r="B1747">
            <v>4566.3900000000003</v>
          </cell>
          <cell r="C1747">
            <v>4595.3100000000004</v>
          </cell>
          <cell r="D1747">
            <v>4544.32</v>
          </cell>
          <cell r="E1747">
            <v>4589.38</v>
          </cell>
          <cell r="F1747">
            <v>4589.38</v>
          </cell>
        </row>
        <row r="1748">
          <cell r="A1748">
            <v>44595</v>
          </cell>
          <cell r="B1748">
            <v>4535.41</v>
          </cell>
          <cell r="C1748">
            <v>4542.88</v>
          </cell>
          <cell r="D1748">
            <v>4470.3900000000003</v>
          </cell>
          <cell r="E1748">
            <v>4477.4399999999996</v>
          </cell>
          <cell r="F1748">
            <v>4477.4399999999996</v>
          </cell>
        </row>
        <row r="1749">
          <cell r="A1749">
            <v>44596</v>
          </cell>
          <cell r="B1749">
            <v>4482.79</v>
          </cell>
          <cell r="C1749">
            <v>4539.66</v>
          </cell>
          <cell r="D1749">
            <v>4451.5</v>
          </cell>
          <cell r="E1749">
            <v>4500.53</v>
          </cell>
          <cell r="F1749">
            <v>4500.53</v>
          </cell>
        </row>
        <row r="1750">
          <cell r="A1750">
            <v>44599</v>
          </cell>
          <cell r="B1750">
            <v>4505.75</v>
          </cell>
          <cell r="C1750">
            <v>4521.8599999999997</v>
          </cell>
          <cell r="D1750">
            <v>4471.47</v>
          </cell>
          <cell r="E1750">
            <v>4483.87</v>
          </cell>
          <cell r="F1750">
            <v>4483.87</v>
          </cell>
        </row>
        <row r="1751">
          <cell r="A1751">
            <v>44600</v>
          </cell>
          <cell r="B1751">
            <v>4480.0200000000004</v>
          </cell>
          <cell r="C1751">
            <v>4531.32</v>
          </cell>
          <cell r="D1751">
            <v>4465.3999999999996</v>
          </cell>
          <cell r="E1751">
            <v>4521.54</v>
          </cell>
          <cell r="F1751">
            <v>4521.54</v>
          </cell>
        </row>
        <row r="1752">
          <cell r="A1752">
            <v>44601</v>
          </cell>
          <cell r="B1752">
            <v>4547</v>
          </cell>
          <cell r="C1752">
            <v>4590.03</v>
          </cell>
          <cell r="D1752">
            <v>4547</v>
          </cell>
          <cell r="E1752">
            <v>4587.18</v>
          </cell>
          <cell r="F1752">
            <v>4587.18</v>
          </cell>
        </row>
        <row r="1753">
          <cell r="A1753">
            <v>44602</v>
          </cell>
          <cell r="B1753">
            <v>4553.24</v>
          </cell>
          <cell r="C1753">
            <v>4588.92</v>
          </cell>
          <cell r="D1753">
            <v>4484.3100000000004</v>
          </cell>
          <cell r="E1753">
            <v>4504.08</v>
          </cell>
          <cell r="F1753">
            <v>4504.08</v>
          </cell>
        </row>
        <row r="1754">
          <cell r="A1754">
            <v>44603</v>
          </cell>
          <cell r="B1754">
            <v>4506.2700000000004</v>
          </cell>
          <cell r="C1754">
            <v>4526.33</v>
          </cell>
          <cell r="D1754">
            <v>4401.41</v>
          </cell>
          <cell r="E1754">
            <v>4418.6400000000003</v>
          </cell>
          <cell r="F1754">
            <v>4418.6400000000003</v>
          </cell>
        </row>
        <row r="1755">
          <cell r="A1755">
            <v>44606</v>
          </cell>
          <cell r="B1755">
            <v>4412.6099999999997</v>
          </cell>
          <cell r="C1755">
            <v>4426.22</v>
          </cell>
          <cell r="D1755">
            <v>4364.84</v>
          </cell>
          <cell r="E1755">
            <v>4401.67</v>
          </cell>
          <cell r="F1755">
            <v>4401.67</v>
          </cell>
        </row>
        <row r="1756">
          <cell r="A1756">
            <v>44607</v>
          </cell>
          <cell r="B1756">
            <v>4429.28</v>
          </cell>
          <cell r="C1756">
            <v>4472.7700000000004</v>
          </cell>
          <cell r="D1756">
            <v>4429.28</v>
          </cell>
          <cell r="E1756">
            <v>4471.07</v>
          </cell>
          <cell r="F1756">
            <v>4471.07</v>
          </cell>
        </row>
        <row r="1757">
          <cell r="A1757">
            <v>44608</v>
          </cell>
          <cell r="B1757">
            <v>4455.75</v>
          </cell>
          <cell r="C1757">
            <v>4489.55</v>
          </cell>
          <cell r="D1757">
            <v>4429.68</v>
          </cell>
          <cell r="E1757">
            <v>4475.01</v>
          </cell>
          <cell r="F1757">
            <v>4475.01</v>
          </cell>
        </row>
        <row r="1758">
          <cell r="A1758">
            <v>44609</v>
          </cell>
          <cell r="B1758">
            <v>4456.0600000000004</v>
          </cell>
          <cell r="C1758">
            <v>4456.0600000000004</v>
          </cell>
          <cell r="D1758">
            <v>4373.8100000000004</v>
          </cell>
          <cell r="E1758">
            <v>4380.26</v>
          </cell>
          <cell r="F1758">
            <v>4380.26</v>
          </cell>
        </row>
        <row r="1759">
          <cell r="A1759">
            <v>44610</v>
          </cell>
          <cell r="B1759">
            <v>4384.57</v>
          </cell>
          <cell r="C1759">
            <v>4394.6000000000004</v>
          </cell>
          <cell r="D1759">
            <v>4327.22</v>
          </cell>
          <cell r="E1759">
            <v>4348.87</v>
          </cell>
          <cell r="F1759">
            <v>4348.87</v>
          </cell>
        </row>
        <row r="1760">
          <cell r="A1760">
            <v>44614</v>
          </cell>
          <cell r="B1760">
            <v>4332.74</v>
          </cell>
          <cell r="C1760">
            <v>4362.12</v>
          </cell>
          <cell r="D1760">
            <v>4267.1099999999997</v>
          </cell>
          <cell r="E1760">
            <v>4304.76</v>
          </cell>
          <cell r="F1760">
            <v>4304.76</v>
          </cell>
        </row>
        <row r="1761">
          <cell r="A1761">
            <v>44615</v>
          </cell>
          <cell r="B1761">
            <v>4324.93</v>
          </cell>
          <cell r="C1761">
            <v>4341.51</v>
          </cell>
          <cell r="D1761">
            <v>4221.51</v>
          </cell>
          <cell r="E1761">
            <v>4225.5</v>
          </cell>
          <cell r="F1761">
            <v>4225.5</v>
          </cell>
        </row>
        <row r="1762">
          <cell r="A1762">
            <v>44616</v>
          </cell>
          <cell r="B1762">
            <v>4155.7700000000004</v>
          </cell>
          <cell r="C1762">
            <v>4294.7299999999996</v>
          </cell>
          <cell r="D1762">
            <v>4114.6499999999996</v>
          </cell>
          <cell r="E1762">
            <v>4288.7</v>
          </cell>
          <cell r="F1762">
            <v>4288.7</v>
          </cell>
        </row>
        <row r="1763">
          <cell r="A1763">
            <v>44617</v>
          </cell>
          <cell r="B1763">
            <v>4298.38</v>
          </cell>
          <cell r="C1763">
            <v>4385.34</v>
          </cell>
          <cell r="D1763">
            <v>4286.83</v>
          </cell>
          <cell r="E1763">
            <v>4384.6499999999996</v>
          </cell>
          <cell r="F1763">
            <v>4384.6499999999996</v>
          </cell>
        </row>
        <row r="1764">
          <cell r="A1764">
            <v>44620</v>
          </cell>
          <cell r="B1764">
            <v>4354.17</v>
          </cell>
          <cell r="C1764">
            <v>4388.84</v>
          </cell>
          <cell r="D1764">
            <v>4315.12</v>
          </cell>
          <cell r="E1764">
            <v>4373.9399999999996</v>
          </cell>
          <cell r="F1764">
            <v>4373.9399999999996</v>
          </cell>
        </row>
        <row r="1765">
          <cell r="A1765">
            <v>44621</v>
          </cell>
          <cell r="B1765">
            <v>4363.1400000000003</v>
          </cell>
          <cell r="C1765">
            <v>4378.45</v>
          </cell>
          <cell r="D1765">
            <v>4279.54</v>
          </cell>
          <cell r="E1765">
            <v>4306.26</v>
          </cell>
          <cell r="F1765">
            <v>4306.26</v>
          </cell>
        </row>
        <row r="1766">
          <cell r="A1766">
            <v>44622</v>
          </cell>
          <cell r="B1766">
            <v>4322.5600000000004</v>
          </cell>
          <cell r="C1766">
            <v>4401.4799999999996</v>
          </cell>
          <cell r="D1766">
            <v>4322.5600000000004</v>
          </cell>
          <cell r="E1766">
            <v>4386.54</v>
          </cell>
          <cell r="F1766">
            <v>4386.54</v>
          </cell>
        </row>
        <row r="1767">
          <cell r="A1767">
            <v>44623</v>
          </cell>
          <cell r="B1767">
            <v>4401.3100000000004</v>
          </cell>
          <cell r="C1767">
            <v>4416.78</v>
          </cell>
          <cell r="D1767">
            <v>4345.5600000000004</v>
          </cell>
          <cell r="E1767">
            <v>4363.49</v>
          </cell>
          <cell r="F1767">
            <v>4363.49</v>
          </cell>
        </row>
        <row r="1768">
          <cell r="A1768">
            <v>44624</v>
          </cell>
          <cell r="B1768">
            <v>4342.12</v>
          </cell>
          <cell r="C1768">
            <v>4342.12</v>
          </cell>
          <cell r="D1768">
            <v>4284.9799999999996</v>
          </cell>
          <cell r="E1768">
            <v>4328.87</v>
          </cell>
          <cell r="F1768">
            <v>4328.87</v>
          </cell>
        </row>
        <row r="1769">
          <cell r="A1769">
            <v>44627</v>
          </cell>
          <cell r="B1769">
            <v>4327.01</v>
          </cell>
          <cell r="C1769">
            <v>4327.01</v>
          </cell>
          <cell r="D1769">
            <v>4199.8500000000004</v>
          </cell>
          <cell r="E1769">
            <v>4201.09</v>
          </cell>
          <cell r="F1769">
            <v>4201.09</v>
          </cell>
        </row>
        <row r="1770">
          <cell r="A1770">
            <v>44628</v>
          </cell>
          <cell r="B1770">
            <v>4202.66</v>
          </cell>
          <cell r="C1770">
            <v>4276.9399999999996</v>
          </cell>
          <cell r="D1770">
            <v>4157.87</v>
          </cell>
          <cell r="E1770">
            <v>4170.7</v>
          </cell>
          <cell r="F1770">
            <v>4170.7</v>
          </cell>
        </row>
        <row r="1771">
          <cell r="A1771">
            <v>44629</v>
          </cell>
          <cell r="B1771">
            <v>4223.1000000000004</v>
          </cell>
          <cell r="C1771">
            <v>4299.3999999999996</v>
          </cell>
          <cell r="D1771">
            <v>4223.1000000000004</v>
          </cell>
          <cell r="E1771">
            <v>4277.88</v>
          </cell>
          <cell r="F1771">
            <v>4277.88</v>
          </cell>
        </row>
        <row r="1772">
          <cell r="A1772">
            <v>44630</v>
          </cell>
          <cell r="B1772">
            <v>4252.55</v>
          </cell>
          <cell r="C1772">
            <v>4268.28</v>
          </cell>
          <cell r="D1772">
            <v>4209.8</v>
          </cell>
          <cell r="E1772">
            <v>4259.5200000000004</v>
          </cell>
          <cell r="F1772">
            <v>4259.5200000000004</v>
          </cell>
        </row>
        <row r="1773">
          <cell r="A1773">
            <v>44631</v>
          </cell>
          <cell r="B1773">
            <v>4279.5</v>
          </cell>
          <cell r="C1773">
            <v>4291.01</v>
          </cell>
          <cell r="D1773">
            <v>4200.49</v>
          </cell>
          <cell r="E1773">
            <v>4204.3100000000004</v>
          </cell>
          <cell r="F1773">
            <v>4204.3100000000004</v>
          </cell>
        </row>
        <row r="1774">
          <cell r="A1774">
            <v>44634</v>
          </cell>
          <cell r="B1774">
            <v>4202.75</v>
          </cell>
          <cell r="C1774">
            <v>4247.57</v>
          </cell>
          <cell r="D1774">
            <v>4161.72</v>
          </cell>
          <cell r="E1774">
            <v>4173.1099999999997</v>
          </cell>
          <cell r="F1774">
            <v>4173.1099999999997</v>
          </cell>
        </row>
        <row r="1775">
          <cell r="A1775">
            <v>44635</v>
          </cell>
          <cell r="B1775">
            <v>4188.82</v>
          </cell>
          <cell r="C1775">
            <v>4271.05</v>
          </cell>
          <cell r="D1775">
            <v>4187.8999999999996</v>
          </cell>
          <cell r="E1775">
            <v>4262.45</v>
          </cell>
          <cell r="F1775">
            <v>4262.45</v>
          </cell>
        </row>
        <row r="1776">
          <cell r="A1776">
            <v>44636</v>
          </cell>
          <cell r="B1776">
            <v>4288.1400000000003</v>
          </cell>
          <cell r="C1776">
            <v>4358.8999999999996</v>
          </cell>
          <cell r="D1776">
            <v>4251.99</v>
          </cell>
          <cell r="E1776">
            <v>4357.8599999999997</v>
          </cell>
          <cell r="F1776">
            <v>4357.8599999999997</v>
          </cell>
        </row>
        <row r="1777">
          <cell r="A1777">
            <v>44637</v>
          </cell>
          <cell r="B1777">
            <v>4345.1099999999997</v>
          </cell>
          <cell r="C1777">
            <v>4412.67</v>
          </cell>
          <cell r="D1777">
            <v>4335.6499999999996</v>
          </cell>
          <cell r="E1777">
            <v>4411.67</v>
          </cell>
          <cell r="F1777">
            <v>4411.67</v>
          </cell>
        </row>
        <row r="1778">
          <cell r="A1778">
            <v>44638</v>
          </cell>
          <cell r="B1778">
            <v>4407.34</v>
          </cell>
          <cell r="C1778">
            <v>4465.3999999999996</v>
          </cell>
          <cell r="D1778">
            <v>4390.57</v>
          </cell>
          <cell r="E1778">
            <v>4463.12</v>
          </cell>
          <cell r="F1778">
            <v>4463.12</v>
          </cell>
        </row>
        <row r="1779">
          <cell r="A1779">
            <v>44641</v>
          </cell>
          <cell r="B1779">
            <v>4462.3999999999996</v>
          </cell>
          <cell r="C1779">
            <v>4481.75</v>
          </cell>
          <cell r="D1779">
            <v>4424.3</v>
          </cell>
          <cell r="E1779">
            <v>4461.18</v>
          </cell>
          <cell r="F1779">
            <v>4461.18</v>
          </cell>
        </row>
        <row r="1780">
          <cell r="A1780">
            <v>44642</v>
          </cell>
          <cell r="B1780">
            <v>4469.1000000000004</v>
          </cell>
          <cell r="C1780">
            <v>4522</v>
          </cell>
          <cell r="D1780">
            <v>4469.1000000000004</v>
          </cell>
          <cell r="E1780">
            <v>4511.6099999999997</v>
          </cell>
          <cell r="F1780">
            <v>4511.6099999999997</v>
          </cell>
        </row>
        <row r="1781">
          <cell r="A1781">
            <v>44643</v>
          </cell>
          <cell r="B1781">
            <v>4493.1000000000004</v>
          </cell>
          <cell r="C1781">
            <v>4501.07</v>
          </cell>
          <cell r="D1781">
            <v>4455.8100000000004</v>
          </cell>
          <cell r="E1781">
            <v>4456.24</v>
          </cell>
          <cell r="F1781">
            <v>4456.24</v>
          </cell>
        </row>
        <row r="1782">
          <cell r="A1782">
            <v>44644</v>
          </cell>
          <cell r="B1782">
            <v>4469.9799999999996</v>
          </cell>
          <cell r="C1782">
            <v>4520.58</v>
          </cell>
          <cell r="D1782">
            <v>4465.17</v>
          </cell>
          <cell r="E1782">
            <v>4520.16</v>
          </cell>
          <cell r="F1782">
            <v>4520.16</v>
          </cell>
        </row>
        <row r="1783">
          <cell r="A1783">
            <v>44645</v>
          </cell>
          <cell r="B1783">
            <v>4522.91</v>
          </cell>
          <cell r="C1783">
            <v>4546.03</v>
          </cell>
          <cell r="D1783">
            <v>4501.07</v>
          </cell>
          <cell r="E1783">
            <v>4543.0600000000004</v>
          </cell>
          <cell r="F1783">
            <v>4543.0600000000004</v>
          </cell>
        </row>
        <row r="1784">
          <cell r="A1784">
            <v>44648</v>
          </cell>
          <cell r="B1784">
            <v>4541.09</v>
          </cell>
          <cell r="C1784">
            <v>4575.6499999999996</v>
          </cell>
          <cell r="D1784">
            <v>4517.6899999999996</v>
          </cell>
          <cell r="E1784">
            <v>4575.5200000000004</v>
          </cell>
          <cell r="F1784">
            <v>4575.5200000000004</v>
          </cell>
        </row>
        <row r="1785">
          <cell r="A1785">
            <v>44649</v>
          </cell>
          <cell r="B1785">
            <v>4602.8599999999997</v>
          </cell>
          <cell r="C1785">
            <v>4637.3</v>
          </cell>
          <cell r="D1785">
            <v>4589.66</v>
          </cell>
          <cell r="E1785">
            <v>4631.6000000000004</v>
          </cell>
          <cell r="F1785">
            <v>4631.6000000000004</v>
          </cell>
        </row>
        <row r="1786">
          <cell r="A1786">
            <v>44650</v>
          </cell>
          <cell r="B1786">
            <v>4624.2</v>
          </cell>
          <cell r="C1786">
            <v>4627.7700000000004</v>
          </cell>
          <cell r="D1786">
            <v>4581.32</v>
          </cell>
          <cell r="E1786">
            <v>4602.45</v>
          </cell>
          <cell r="F1786">
            <v>4602.45</v>
          </cell>
        </row>
        <row r="1787">
          <cell r="A1787">
            <v>44651</v>
          </cell>
          <cell r="B1787">
            <v>4599.0200000000004</v>
          </cell>
          <cell r="C1787">
            <v>4603.07</v>
          </cell>
          <cell r="D1787">
            <v>4530.41</v>
          </cell>
          <cell r="E1787">
            <v>4530.41</v>
          </cell>
          <cell r="F1787">
            <v>4530.41</v>
          </cell>
        </row>
        <row r="1788">
          <cell r="A1788">
            <v>44652</v>
          </cell>
          <cell r="B1788">
            <v>4540.32</v>
          </cell>
          <cell r="C1788">
            <v>4548.7</v>
          </cell>
          <cell r="D1788">
            <v>4507.57</v>
          </cell>
          <cell r="E1788">
            <v>4545.8599999999997</v>
          </cell>
          <cell r="F1788">
            <v>4545.8599999999997</v>
          </cell>
        </row>
        <row r="1789">
          <cell r="A1789">
            <v>44655</v>
          </cell>
          <cell r="B1789">
            <v>4547.97</v>
          </cell>
          <cell r="C1789">
            <v>4583.5</v>
          </cell>
          <cell r="D1789">
            <v>4539.21</v>
          </cell>
          <cell r="E1789">
            <v>4582.6400000000003</v>
          </cell>
          <cell r="F1789">
            <v>4582.6400000000003</v>
          </cell>
        </row>
        <row r="1790">
          <cell r="A1790">
            <v>44656</v>
          </cell>
          <cell r="B1790">
            <v>4572.45</v>
          </cell>
          <cell r="C1790">
            <v>4593.45</v>
          </cell>
          <cell r="D1790">
            <v>4514.17</v>
          </cell>
          <cell r="E1790">
            <v>4525.12</v>
          </cell>
          <cell r="F1790">
            <v>4525.12</v>
          </cell>
        </row>
        <row r="1791">
          <cell r="A1791">
            <v>44657</v>
          </cell>
          <cell r="B1791">
            <v>4494.17</v>
          </cell>
          <cell r="C1791">
            <v>4503.9399999999996</v>
          </cell>
          <cell r="D1791">
            <v>4450.04</v>
          </cell>
          <cell r="E1791">
            <v>4481.1499999999996</v>
          </cell>
          <cell r="F1791">
            <v>4481.1499999999996</v>
          </cell>
        </row>
        <row r="1792">
          <cell r="A1792">
            <v>44658</v>
          </cell>
          <cell r="B1792">
            <v>4474.6499999999996</v>
          </cell>
          <cell r="C1792">
            <v>4521.16</v>
          </cell>
          <cell r="D1792">
            <v>4450.3</v>
          </cell>
          <cell r="E1792">
            <v>4500.21</v>
          </cell>
          <cell r="F1792">
            <v>4500.21</v>
          </cell>
        </row>
        <row r="1793">
          <cell r="A1793">
            <v>44659</v>
          </cell>
          <cell r="B1793">
            <v>4494.1499999999996</v>
          </cell>
          <cell r="C1793">
            <v>4520.41</v>
          </cell>
          <cell r="D1793">
            <v>4474.6000000000004</v>
          </cell>
          <cell r="E1793">
            <v>4488.28</v>
          </cell>
          <cell r="F1793">
            <v>4488.28</v>
          </cell>
        </row>
        <row r="1794">
          <cell r="A1794">
            <v>44662</v>
          </cell>
          <cell r="B1794">
            <v>4462.6400000000003</v>
          </cell>
          <cell r="C1794">
            <v>4464.3500000000004</v>
          </cell>
          <cell r="D1794">
            <v>4408.38</v>
          </cell>
          <cell r="E1794">
            <v>4412.53</v>
          </cell>
          <cell r="F1794">
            <v>4412.53</v>
          </cell>
        </row>
        <row r="1795">
          <cell r="A1795">
            <v>44663</v>
          </cell>
          <cell r="B1795">
            <v>4437.59</v>
          </cell>
          <cell r="C1795">
            <v>4471</v>
          </cell>
          <cell r="D1795">
            <v>4381.34</v>
          </cell>
          <cell r="E1795">
            <v>4397.45</v>
          </cell>
          <cell r="F1795">
            <v>4397.45</v>
          </cell>
        </row>
        <row r="1796">
          <cell r="A1796">
            <v>44664</v>
          </cell>
          <cell r="B1796">
            <v>4394.3</v>
          </cell>
          <cell r="C1796">
            <v>4453.92</v>
          </cell>
          <cell r="D1796">
            <v>4392.7</v>
          </cell>
          <cell r="E1796">
            <v>4446.59</v>
          </cell>
          <cell r="F1796">
            <v>4446.59</v>
          </cell>
        </row>
        <row r="1797">
          <cell r="A1797">
            <v>44665</v>
          </cell>
          <cell r="B1797">
            <v>4449.12</v>
          </cell>
          <cell r="C1797">
            <v>4460.46</v>
          </cell>
          <cell r="D1797">
            <v>4390.7700000000004</v>
          </cell>
          <cell r="E1797">
            <v>4392.59</v>
          </cell>
          <cell r="F1797">
            <v>4392.59</v>
          </cell>
        </row>
        <row r="1798">
          <cell r="A1798">
            <v>44669</v>
          </cell>
          <cell r="B1798">
            <v>4385.63</v>
          </cell>
          <cell r="C1798">
            <v>4410.3100000000004</v>
          </cell>
          <cell r="D1798">
            <v>4370.3</v>
          </cell>
          <cell r="E1798">
            <v>4391.6899999999996</v>
          </cell>
          <cell r="F1798">
            <v>4391.6899999999996</v>
          </cell>
        </row>
        <row r="1799">
          <cell r="A1799">
            <v>44670</v>
          </cell>
          <cell r="B1799">
            <v>4390.63</v>
          </cell>
          <cell r="C1799">
            <v>4471.03</v>
          </cell>
          <cell r="D1799">
            <v>4390.63</v>
          </cell>
          <cell r="E1799">
            <v>4462.21</v>
          </cell>
          <cell r="F1799">
            <v>4462.21</v>
          </cell>
        </row>
        <row r="1800">
          <cell r="A1800">
            <v>44671</v>
          </cell>
          <cell r="B1800">
            <v>4472.26</v>
          </cell>
          <cell r="C1800">
            <v>4488.29</v>
          </cell>
          <cell r="D1800">
            <v>4448.76</v>
          </cell>
          <cell r="E1800">
            <v>4459.45</v>
          </cell>
          <cell r="F1800">
            <v>4459.45</v>
          </cell>
        </row>
        <row r="1801">
          <cell r="A1801">
            <v>44672</v>
          </cell>
          <cell r="B1801">
            <v>4489.17</v>
          </cell>
          <cell r="C1801">
            <v>4512.9399999999996</v>
          </cell>
          <cell r="D1801">
            <v>4384.47</v>
          </cell>
          <cell r="E1801">
            <v>4393.66</v>
          </cell>
          <cell r="F1801">
            <v>4393.66</v>
          </cell>
        </row>
        <row r="1802">
          <cell r="A1802">
            <v>44673</v>
          </cell>
          <cell r="B1802">
            <v>4385.83</v>
          </cell>
          <cell r="C1802">
            <v>4385.83</v>
          </cell>
          <cell r="D1802">
            <v>4267.62</v>
          </cell>
          <cell r="E1802">
            <v>4271.78</v>
          </cell>
          <cell r="F1802">
            <v>4271.78</v>
          </cell>
        </row>
        <row r="1803">
          <cell r="A1803">
            <v>44676</v>
          </cell>
          <cell r="B1803">
            <v>4255.34</v>
          </cell>
          <cell r="C1803">
            <v>4299.0200000000004</v>
          </cell>
          <cell r="D1803">
            <v>4200.82</v>
          </cell>
          <cell r="E1803">
            <v>4296.12</v>
          </cell>
          <cell r="F1803">
            <v>4296.12</v>
          </cell>
        </row>
        <row r="1804">
          <cell r="A1804">
            <v>44677</v>
          </cell>
          <cell r="B1804">
            <v>4278.1400000000003</v>
          </cell>
          <cell r="C1804">
            <v>4278.1400000000003</v>
          </cell>
          <cell r="D1804">
            <v>4175.04</v>
          </cell>
          <cell r="E1804">
            <v>4175.2</v>
          </cell>
          <cell r="F1804">
            <v>4175.2</v>
          </cell>
        </row>
        <row r="1805">
          <cell r="A1805">
            <v>44678</v>
          </cell>
          <cell r="B1805">
            <v>4186.5200000000004</v>
          </cell>
          <cell r="C1805">
            <v>4240.71</v>
          </cell>
          <cell r="D1805">
            <v>4162.8999999999996</v>
          </cell>
          <cell r="E1805">
            <v>4183.96</v>
          </cell>
          <cell r="F1805">
            <v>4183.96</v>
          </cell>
        </row>
        <row r="1806">
          <cell r="A1806">
            <v>44679</v>
          </cell>
          <cell r="B1806">
            <v>4222.58</v>
          </cell>
          <cell r="C1806">
            <v>4308.45</v>
          </cell>
          <cell r="D1806">
            <v>4188.63</v>
          </cell>
          <cell r="E1806">
            <v>4287.5</v>
          </cell>
          <cell r="F1806">
            <v>4287.5</v>
          </cell>
        </row>
        <row r="1807">
          <cell r="A1807">
            <v>44680</v>
          </cell>
          <cell r="B1807">
            <v>4253.75</v>
          </cell>
          <cell r="C1807">
            <v>4269.68</v>
          </cell>
          <cell r="D1807">
            <v>4124.28</v>
          </cell>
          <cell r="E1807">
            <v>4131.93</v>
          </cell>
          <cell r="F1807">
            <v>4131.93</v>
          </cell>
        </row>
        <row r="1808">
          <cell r="A1808">
            <v>44683</v>
          </cell>
          <cell r="B1808">
            <v>4130.6099999999997</v>
          </cell>
          <cell r="C1808">
            <v>4169.8100000000004</v>
          </cell>
          <cell r="D1808">
            <v>4062.51</v>
          </cell>
          <cell r="E1808">
            <v>4155.38</v>
          </cell>
          <cell r="F1808">
            <v>4155.38</v>
          </cell>
        </row>
        <row r="1809">
          <cell r="A1809">
            <v>44684</v>
          </cell>
          <cell r="B1809">
            <v>4159.78</v>
          </cell>
          <cell r="C1809">
            <v>4200.1000000000004</v>
          </cell>
          <cell r="D1809">
            <v>4147.08</v>
          </cell>
          <cell r="E1809">
            <v>4175.4799999999996</v>
          </cell>
          <cell r="F1809">
            <v>4175.4799999999996</v>
          </cell>
        </row>
        <row r="1810">
          <cell r="A1810">
            <v>44685</v>
          </cell>
          <cell r="B1810">
            <v>4181.18</v>
          </cell>
          <cell r="C1810">
            <v>4307.66</v>
          </cell>
          <cell r="D1810">
            <v>4148.91</v>
          </cell>
          <cell r="E1810">
            <v>4300.17</v>
          </cell>
          <cell r="F1810">
            <v>4300.17</v>
          </cell>
        </row>
        <row r="1811">
          <cell r="A1811">
            <v>44686</v>
          </cell>
          <cell r="B1811">
            <v>4270.43</v>
          </cell>
          <cell r="C1811">
            <v>4270.43</v>
          </cell>
          <cell r="D1811">
            <v>4106.01</v>
          </cell>
          <cell r="E1811">
            <v>4146.87</v>
          </cell>
          <cell r="F1811">
            <v>4146.87</v>
          </cell>
        </row>
        <row r="1812">
          <cell r="A1812">
            <v>44687</v>
          </cell>
          <cell r="B1812">
            <v>4128.17</v>
          </cell>
          <cell r="C1812">
            <v>4157.6899999999996</v>
          </cell>
          <cell r="D1812">
            <v>4067.91</v>
          </cell>
          <cell r="E1812">
            <v>4123.34</v>
          </cell>
          <cell r="F1812">
            <v>4123.34</v>
          </cell>
        </row>
        <row r="1813">
          <cell r="A1813">
            <v>44690</v>
          </cell>
          <cell r="B1813">
            <v>4081.27</v>
          </cell>
          <cell r="C1813">
            <v>4081.27</v>
          </cell>
          <cell r="D1813">
            <v>3975.48</v>
          </cell>
          <cell r="E1813">
            <v>3991.24</v>
          </cell>
          <cell r="F1813">
            <v>3991.24</v>
          </cell>
        </row>
        <row r="1814">
          <cell r="A1814">
            <v>44691</v>
          </cell>
          <cell r="B1814">
            <v>4035.18</v>
          </cell>
          <cell r="C1814">
            <v>4068.82</v>
          </cell>
          <cell r="D1814">
            <v>3958.17</v>
          </cell>
          <cell r="E1814">
            <v>4001.05</v>
          </cell>
          <cell r="F1814">
            <v>4001.05</v>
          </cell>
        </row>
        <row r="1815">
          <cell r="A1815">
            <v>44692</v>
          </cell>
          <cell r="B1815">
            <v>3990.08</v>
          </cell>
          <cell r="C1815">
            <v>4049.09</v>
          </cell>
          <cell r="D1815">
            <v>3928.82</v>
          </cell>
          <cell r="E1815">
            <v>3935.18</v>
          </cell>
          <cell r="F1815">
            <v>3935.18</v>
          </cell>
        </row>
        <row r="1816">
          <cell r="A1816">
            <v>44693</v>
          </cell>
          <cell r="B1816">
            <v>3903.95</v>
          </cell>
          <cell r="C1816">
            <v>3964.8</v>
          </cell>
          <cell r="D1816">
            <v>3858.87</v>
          </cell>
          <cell r="E1816">
            <v>3930.08</v>
          </cell>
          <cell r="F1816">
            <v>3930.08</v>
          </cell>
        </row>
        <row r="1817">
          <cell r="A1817">
            <v>44694</v>
          </cell>
          <cell r="B1817">
            <v>3963.9</v>
          </cell>
          <cell r="C1817">
            <v>4038.88</v>
          </cell>
          <cell r="D1817">
            <v>3963.9</v>
          </cell>
          <cell r="E1817">
            <v>4023.89</v>
          </cell>
          <cell r="F1817">
            <v>4023.89</v>
          </cell>
        </row>
        <row r="1818">
          <cell r="A1818">
            <v>44697</v>
          </cell>
          <cell r="B1818">
            <v>4013.02</v>
          </cell>
          <cell r="C1818">
            <v>4046.46</v>
          </cell>
          <cell r="D1818">
            <v>3983.99</v>
          </cell>
          <cell r="E1818">
            <v>4008.01</v>
          </cell>
          <cell r="F1818">
            <v>4008.01</v>
          </cell>
        </row>
        <row r="1819">
          <cell r="A1819">
            <v>44698</v>
          </cell>
          <cell r="B1819">
            <v>4052</v>
          </cell>
          <cell r="C1819">
            <v>4090.72</v>
          </cell>
          <cell r="D1819">
            <v>4033.93</v>
          </cell>
          <cell r="E1819">
            <v>4088.85</v>
          </cell>
          <cell r="F1819">
            <v>4088.85</v>
          </cell>
        </row>
        <row r="1820">
          <cell r="A1820">
            <v>44699</v>
          </cell>
          <cell r="B1820">
            <v>4051.98</v>
          </cell>
          <cell r="C1820">
            <v>4051.98</v>
          </cell>
          <cell r="D1820">
            <v>3911.91</v>
          </cell>
          <cell r="E1820">
            <v>3923.68</v>
          </cell>
          <cell r="F1820">
            <v>3923.68</v>
          </cell>
        </row>
        <row r="1821">
          <cell r="A1821">
            <v>44700</v>
          </cell>
          <cell r="B1821">
            <v>3899</v>
          </cell>
          <cell r="C1821">
            <v>3945.96</v>
          </cell>
          <cell r="D1821">
            <v>3876.58</v>
          </cell>
          <cell r="E1821">
            <v>3900.79</v>
          </cell>
          <cell r="F1821">
            <v>3900.79</v>
          </cell>
        </row>
        <row r="1822">
          <cell r="A1822">
            <v>44701</v>
          </cell>
          <cell r="B1822">
            <v>3927.76</v>
          </cell>
          <cell r="C1822">
            <v>3943.42</v>
          </cell>
          <cell r="D1822">
            <v>3810.32</v>
          </cell>
          <cell r="E1822">
            <v>3901.36</v>
          </cell>
          <cell r="F1822">
            <v>3901.36</v>
          </cell>
        </row>
        <row r="1823">
          <cell r="A1823">
            <v>44704</v>
          </cell>
          <cell r="B1823">
            <v>3919.42</v>
          </cell>
          <cell r="C1823">
            <v>3981.88</v>
          </cell>
          <cell r="D1823">
            <v>3909.04</v>
          </cell>
          <cell r="E1823">
            <v>3973.75</v>
          </cell>
          <cell r="F1823">
            <v>3973.75</v>
          </cell>
        </row>
        <row r="1824">
          <cell r="A1824">
            <v>44705</v>
          </cell>
          <cell r="B1824">
            <v>3942.94</v>
          </cell>
          <cell r="C1824">
            <v>3955.68</v>
          </cell>
          <cell r="D1824">
            <v>3875.13</v>
          </cell>
          <cell r="E1824">
            <v>3941.48</v>
          </cell>
          <cell r="F1824">
            <v>3941.48</v>
          </cell>
        </row>
        <row r="1825">
          <cell r="A1825">
            <v>44706</v>
          </cell>
          <cell r="B1825">
            <v>3929.59</v>
          </cell>
          <cell r="C1825">
            <v>3999.33</v>
          </cell>
          <cell r="D1825">
            <v>3925.03</v>
          </cell>
          <cell r="E1825">
            <v>3978.73</v>
          </cell>
          <cell r="F1825">
            <v>3978.73</v>
          </cell>
        </row>
        <row r="1826">
          <cell r="A1826">
            <v>44707</v>
          </cell>
          <cell r="B1826">
            <v>3984.6</v>
          </cell>
          <cell r="C1826">
            <v>4075.14</v>
          </cell>
          <cell r="D1826">
            <v>3984.6</v>
          </cell>
          <cell r="E1826">
            <v>4057.84</v>
          </cell>
          <cell r="F1826">
            <v>4057.84</v>
          </cell>
        </row>
        <row r="1827">
          <cell r="A1827">
            <v>44708</v>
          </cell>
          <cell r="B1827">
            <v>4077.43</v>
          </cell>
          <cell r="C1827">
            <v>4158.49</v>
          </cell>
          <cell r="D1827">
            <v>4077.43</v>
          </cell>
          <cell r="E1827">
            <v>4158.24</v>
          </cell>
          <cell r="F1827">
            <v>4158.24</v>
          </cell>
        </row>
        <row r="1828">
          <cell r="A1828">
            <v>44712</v>
          </cell>
          <cell r="B1828">
            <v>4151.09</v>
          </cell>
          <cell r="C1828">
            <v>4168.34</v>
          </cell>
          <cell r="D1828">
            <v>4104.88</v>
          </cell>
          <cell r="E1828">
            <v>4132.1499999999996</v>
          </cell>
          <cell r="F1828">
            <v>4132.1499999999996</v>
          </cell>
        </row>
        <row r="1829">
          <cell r="A1829">
            <v>44713</v>
          </cell>
          <cell r="B1829">
            <v>4149.78</v>
          </cell>
          <cell r="C1829">
            <v>4166.54</v>
          </cell>
          <cell r="D1829">
            <v>4073.85</v>
          </cell>
          <cell r="E1829">
            <v>4101.2299999999996</v>
          </cell>
          <cell r="F1829">
            <v>4101.2299999999996</v>
          </cell>
        </row>
        <row r="1830">
          <cell r="A1830">
            <v>44714</v>
          </cell>
          <cell r="B1830">
            <v>4095.41</v>
          </cell>
          <cell r="C1830">
            <v>4177.51</v>
          </cell>
          <cell r="D1830">
            <v>4074.37</v>
          </cell>
          <cell r="E1830">
            <v>4176.82</v>
          </cell>
          <cell r="F1830">
            <v>4176.82</v>
          </cell>
        </row>
        <row r="1831">
          <cell r="A1831">
            <v>44715</v>
          </cell>
          <cell r="B1831">
            <v>4137.57</v>
          </cell>
          <cell r="C1831">
            <v>4142.67</v>
          </cell>
          <cell r="D1831">
            <v>4098.67</v>
          </cell>
          <cell r="E1831">
            <v>4108.54</v>
          </cell>
          <cell r="F1831">
            <v>4108.54</v>
          </cell>
        </row>
        <row r="1832">
          <cell r="A1832">
            <v>44718</v>
          </cell>
          <cell r="B1832">
            <v>4134.72</v>
          </cell>
          <cell r="C1832">
            <v>4168.78</v>
          </cell>
          <cell r="D1832">
            <v>4109.18</v>
          </cell>
          <cell r="E1832">
            <v>4121.43</v>
          </cell>
          <cell r="F1832">
            <v>4121.43</v>
          </cell>
        </row>
        <row r="1833">
          <cell r="A1833">
            <v>44719</v>
          </cell>
          <cell r="B1833">
            <v>4096.47</v>
          </cell>
          <cell r="C1833">
            <v>4164.8599999999997</v>
          </cell>
          <cell r="D1833">
            <v>4080.19</v>
          </cell>
          <cell r="E1833">
            <v>4160.68</v>
          </cell>
          <cell r="F1833">
            <v>4160.68</v>
          </cell>
        </row>
        <row r="1834">
          <cell r="A1834">
            <v>44720</v>
          </cell>
          <cell r="B1834">
            <v>4147.12</v>
          </cell>
          <cell r="C1834">
            <v>4160.1400000000003</v>
          </cell>
          <cell r="D1834">
            <v>4107.2</v>
          </cell>
          <cell r="E1834">
            <v>4115.7700000000004</v>
          </cell>
          <cell r="F1834">
            <v>4115.7700000000004</v>
          </cell>
        </row>
        <row r="1835">
          <cell r="A1835">
            <v>44721</v>
          </cell>
          <cell r="B1835">
            <v>4101.6499999999996</v>
          </cell>
          <cell r="C1835">
            <v>4119.1000000000004</v>
          </cell>
          <cell r="D1835">
            <v>4017.17</v>
          </cell>
          <cell r="E1835">
            <v>4017.82</v>
          </cell>
          <cell r="F1835">
            <v>4017.82</v>
          </cell>
        </row>
        <row r="1836">
          <cell r="A1836">
            <v>44722</v>
          </cell>
          <cell r="B1836">
            <v>3974.39</v>
          </cell>
          <cell r="C1836">
            <v>3974.39</v>
          </cell>
          <cell r="D1836">
            <v>3900.16</v>
          </cell>
          <cell r="E1836">
            <v>3900.86</v>
          </cell>
          <cell r="F1836">
            <v>3900.86</v>
          </cell>
        </row>
        <row r="1837">
          <cell r="A1837">
            <v>44725</v>
          </cell>
          <cell r="B1837">
            <v>3838.15</v>
          </cell>
          <cell r="C1837">
            <v>3838.15</v>
          </cell>
          <cell r="D1837">
            <v>3734.3</v>
          </cell>
          <cell r="E1837">
            <v>3749.63</v>
          </cell>
          <cell r="F1837">
            <v>3749.63</v>
          </cell>
        </row>
        <row r="1838">
          <cell r="A1838">
            <v>44726</v>
          </cell>
          <cell r="B1838">
            <v>3763.52</v>
          </cell>
          <cell r="C1838">
            <v>3778.18</v>
          </cell>
          <cell r="D1838">
            <v>3705.68</v>
          </cell>
          <cell r="E1838">
            <v>3735.48</v>
          </cell>
          <cell r="F1838">
            <v>3735.48</v>
          </cell>
        </row>
        <row r="1839">
          <cell r="A1839">
            <v>44727</v>
          </cell>
          <cell r="B1839">
            <v>3764.05</v>
          </cell>
          <cell r="C1839">
            <v>3837.56</v>
          </cell>
          <cell r="D1839">
            <v>3722.3</v>
          </cell>
          <cell r="E1839">
            <v>3789.99</v>
          </cell>
          <cell r="F1839">
            <v>3789.99</v>
          </cell>
        </row>
        <row r="1840">
          <cell r="A1840">
            <v>44728</v>
          </cell>
          <cell r="B1840">
            <v>3728.18</v>
          </cell>
          <cell r="C1840">
            <v>3728.18</v>
          </cell>
          <cell r="D1840">
            <v>3639.77</v>
          </cell>
          <cell r="E1840">
            <v>3666.77</v>
          </cell>
          <cell r="F1840">
            <v>3666.77</v>
          </cell>
        </row>
        <row r="1841">
          <cell r="A1841">
            <v>44729</v>
          </cell>
          <cell r="B1841">
            <v>3665.9</v>
          </cell>
          <cell r="C1841">
            <v>3707.71</v>
          </cell>
          <cell r="D1841">
            <v>3636.87</v>
          </cell>
          <cell r="E1841">
            <v>3674.84</v>
          </cell>
          <cell r="F1841">
            <v>3674.84</v>
          </cell>
        </row>
        <row r="1842">
          <cell r="A1842">
            <v>44733</v>
          </cell>
          <cell r="B1842">
            <v>3715.31</v>
          </cell>
          <cell r="C1842">
            <v>3779.65</v>
          </cell>
          <cell r="D1842">
            <v>3715.31</v>
          </cell>
          <cell r="E1842">
            <v>3764.79</v>
          </cell>
          <cell r="F1842">
            <v>3764.79</v>
          </cell>
        </row>
        <row r="1843">
          <cell r="A1843">
            <v>44734</v>
          </cell>
          <cell r="B1843">
            <v>3733.89</v>
          </cell>
          <cell r="C1843">
            <v>3801.79</v>
          </cell>
          <cell r="D1843">
            <v>3717.69</v>
          </cell>
          <cell r="E1843">
            <v>3759.89</v>
          </cell>
          <cell r="F1843">
            <v>3759.89</v>
          </cell>
        </row>
        <row r="1844">
          <cell r="A1844">
            <v>44735</v>
          </cell>
          <cell r="B1844">
            <v>3774.71</v>
          </cell>
          <cell r="C1844">
            <v>3802.58</v>
          </cell>
          <cell r="D1844">
            <v>3743.52</v>
          </cell>
          <cell r="E1844">
            <v>3795.73</v>
          </cell>
          <cell r="F1844">
            <v>3795.73</v>
          </cell>
        </row>
        <row r="1845">
          <cell r="A1845">
            <v>44736</v>
          </cell>
          <cell r="B1845">
            <v>3821.75</v>
          </cell>
          <cell r="C1845">
            <v>3913.65</v>
          </cell>
          <cell r="D1845">
            <v>3821.75</v>
          </cell>
          <cell r="E1845">
            <v>3911.74</v>
          </cell>
          <cell r="F1845">
            <v>3911.74</v>
          </cell>
        </row>
        <row r="1846">
          <cell r="A1846">
            <v>44739</v>
          </cell>
          <cell r="B1846">
            <v>3920.76</v>
          </cell>
          <cell r="C1846">
            <v>3927.72</v>
          </cell>
          <cell r="D1846">
            <v>3889.66</v>
          </cell>
          <cell r="E1846">
            <v>3900.11</v>
          </cell>
          <cell r="F1846">
            <v>3900.11</v>
          </cell>
        </row>
        <row r="1847">
          <cell r="A1847">
            <v>44740</v>
          </cell>
          <cell r="B1847">
            <v>3913</v>
          </cell>
          <cell r="C1847">
            <v>3945.86</v>
          </cell>
          <cell r="D1847">
            <v>3820.14</v>
          </cell>
          <cell r="E1847">
            <v>3821.55</v>
          </cell>
          <cell r="F1847">
            <v>3821.55</v>
          </cell>
        </row>
        <row r="1848">
          <cell r="A1848">
            <v>44741</v>
          </cell>
          <cell r="B1848">
            <v>3825.09</v>
          </cell>
          <cell r="C1848">
            <v>3836.5</v>
          </cell>
          <cell r="D1848">
            <v>3799.02</v>
          </cell>
          <cell r="E1848">
            <v>3818.83</v>
          </cell>
          <cell r="F1848">
            <v>3818.83</v>
          </cell>
        </row>
        <row r="1849">
          <cell r="A1849">
            <v>44742</v>
          </cell>
          <cell r="B1849">
            <v>3785.99</v>
          </cell>
          <cell r="C1849">
            <v>3818.99</v>
          </cell>
          <cell r="D1849">
            <v>3738.67</v>
          </cell>
          <cell r="E1849">
            <v>3785.38</v>
          </cell>
          <cell r="F1849">
            <v>3785.38</v>
          </cell>
        </row>
        <row r="1850">
          <cell r="A1850">
            <v>44743</v>
          </cell>
          <cell r="B1850">
            <v>3781</v>
          </cell>
          <cell r="C1850">
            <v>3829.82</v>
          </cell>
          <cell r="D1850">
            <v>3752.1</v>
          </cell>
          <cell r="E1850">
            <v>3825.33</v>
          </cell>
          <cell r="F1850">
            <v>3825.33</v>
          </cell>
        </row>
        <row r="1851">
          <cell r="A1851">
            <v>44747</v>
          </cell>
          <cell r="B1851">
            <v>3792.61</v>
          </cell>
          <cell r="C1851">
            <v>3832.19</v>
          </cell>
          <cell r="D1851">
            <v>3742.06</v>
          </cell>
          <cell r="E1851">
            <v>3831.39</v>
          </cell>
          <cell r="F1851">
            <v>3831.39</v>
          </cell>
        </row>
        <row r="1852">
          <cell r="A1852">
            <v>44748</v>
          </cell>
          <cell r="B1852">
            <v>3831.98</v>
          </cell>
          <cell r="C1852">
            <v>3870.91</v>
          </cell>
          <cell r="D1852">
            <v>3809.37</v>
          </cell>
          <cell r="E1852">
            <v>3845.08</v>
          </cell>
          <cell r="F1852">
            <v>3845.08</v>
          </cell>
        </row>
        <row r="1853">
          <cell r="A1853">
            <v>44749</v>
          </cell>
          <cell r="B1853">
            <v>3858.85</v>
          </cell>
          <cell r="C1853">
            <v>3910.63</v>
          </cell>
          <cell r="D1853">
            <v>3858.85</v>
          </cell>
          <cell r="E1853">
            <v>3902.62</v>
          </cell>
          <cell r="F1853">
            <v>3902.62</v>
          </cell>
        </row>
        <row r="1854">
          <cell r="A1854">
            <v>44750</v>
          </cell>
          <cell r="B1854">
            <v>3888.26</v>
          </cell>
          <cell r="C1854">
            <v>3918.5</v>
          </cell>
          <cell r="D1854">
            <v>3869.34</v>
          </cell>
          <cell r="E1854">
            <v>3899.38</v>
          </cell>
          <cell r="F1854">
            <v>3899.38</v>
          </cell>
        </row>
        <row r="1855">
          <cell r="A1855">
            <v>44753</v>
          </cell>
          <cell r="B1855">
            <v>3880.94</v>
          </cell>
          <cell r="C1855">
            <v>3880.94</v>
          </cell>
          <cell r="D1855">
            <v>3847.22</v>
          </cell>
          <cell r="E1855">
            <v>3854.43</v>
          </cell>
          <cell r="F1855">
            <v>3854.43</v>
          </cell>
        </row>
        <row r="1856">
          <cell r="A1856">
            <v>44754</v>
          </cell>
          <cell r="B1856">
            <v>3851.95</v>
          </cell>
          <cell r="C1856">
            <v>3873.41</v>
          </cell>
          <cell r="D1856">
            <v>3802.36</v>
          </cell>
          <cell r="E1856">
            <v>3818.8</v>
          </cell>
          <cell r="F1856">
            <v>3818.8</v>
          </cell>
        </row>
        <row r="1857">
          <cell r="A1857">
            <v>44755</v>
          </cell>
          <cell r="B1857">
            <v>3779.67</v>
          </cell>
          <cell r="C1857">
            <v>3829.44</v>
          </cell>
          <cell r="D1857">
            <v>3759.07</v>
          </cell>
          <cell r="E1857">
            <v>3801.78</v>
          </cell>
          <cell r="F1857">
            <v>3801.78</v>
          </cell>
        </row>
        <row r="1858">
          <cell r="A1858">
            <v>44756</v>
          </cell>
          <cell r="B1858">
            <v>3763.99</v>
          </cell>
          <cell r="C1858">
            <v>3796.41</v>
          </cell>
          <cell r="D1858">
            <v>3721.56</v>
          </cell>
          <cell r="E1858">
            <v>3790.38</v>
          </cell>
          <cell r="F1858">
            <v>3790.38</v>
          </cell>
        </row>
        <row r="1859">
          <cell r="A1859">
            <v>44757</v>
          </cell>
          <cell r="B1859">
            <v>3818</v>
          </cell>
          <cell r="C1859">
            <v>3863.62</v>
          </cell>
          <cell r="D1859">
            <v>3817.18</v>
          </cell>
          <cell r="E1859">
            <v>3863.16</v>
          </cell>
          <cell r="F1859">
            <v>3863.16</v>
          </cell>
        </row>
        <row r="1860">
          <cell r="A1860">
            <v>44760</v>
          </cell>
          <cell r="B1860">
            <v>3883.79</v>
          </cell>
          <cell r="C1860">
            <v>3902.44</v>
          </cell>
          <cell r="D1860">
            <v>3818.63</v>
          </cell>
          <cell r="E1860">
            <v>3830.85</v>
          </cell>
          <cell r="F1860">
            <v>3830.85</v>
          </cell>
        </row>
        <row r="1861">
          <cell r="A1861">
            <v>44761</v>
          </cell>
          <cell r="B1861">
            <v>3860.73</v>
          </cell>
          <cell r="C1861">
            <v>3939.81</v>
          </cell>
          <cell r="D1861">
            <v>3860.73</v>
          </cell>
          <cell r="E1861">
            <v>3936.69</v>
          </cell>
          <cell r="F1861">
            <v>3936.69</v>
          </cell>
        </row>
        <row r="1862">
          <cell r="A1862">
            <v>44762</v>
          </cell>
          <cell r="B1862">
            <v>3935.32</v>
          </cell>
          <cell r="C1862">
            <v>3974.13</v>
          </cell>
          <cell r="D1862">
            <v>3922.03</v>
          </cell>
          <cell r="E1862">
            <v>3959.9</v>
          </cell>
          <cell r="F1862">
            <v>3959.9</v>
          </cell>
        </row>
        <row r="1863">
          <cell r="A1863">
            <v>44763</v>
          </cell>
          <cell r="B1863">
            <v>3955.47</v>
          </cell>
          <cell r="C1863">
            <v>3999.29</v>
          </cell>
          <cell r="D1863">
            <v>3927.64</v>
          </cell>
          <cell r="E1863">
            <v>3998.95</v>
          </cell>
          <cell r="F1863">
            <v>3998.95</v>
          </cell>
        </row>
        <row r="1864">
          <cell r="A1864">
            <v>44764</v>
          </cell>
          <cell r="B1864">
            <v>3998.43</v>
          </cell>
          <cell r="C1864">
            <v>4012.44</v>
          </cell>
          <cell r="D1864">
            <v>3938.86</v>
          </cell>
          <cell r="E1864">
            <v>3961.63</v>
          </cell>
          <cell r="F1864">
            <v>3961.63</v>
          </cell>
        </row>
        <row r="1865">
          <cell r="A1865">
            <v>44767</v>
          </cell>
          <cell r="B1865">
            <v>3965.72</v>
          </cell>
          <cell r="C1865">
            <v>3975.3</v>
          </cell>
          <cell r="D1865">
            <v>3943.46</v>
          </cell>
          <cell r="E1865">
            <v>3966.84</v>
          </cell>
          <cell r="F1865">
            <v>3966.84</v>
          </cell>
        </row>
        <row r="1866">
          <cell r="A1866">
            <v>44768</v>
          </cell>
          <cell r="B1866">
            <v>3953.22</v>
          </cell>
          <cell r="C1866">
            <v>3953.22</v>
          </cell>
          <cell r="D1866">
            <v>3910.74</v>
          </cell>
          <cell r="E1866">
            <v>3921.05</v>
          </cell>
          <cell r="F1866">
            <v>3921.05</v>
          </cell>
        </row>
        <row r="1867">
          <cell r="A1867">
            <v>44769</v>
          </cell>
          <cell r="B1867">
            <v>3951.43</v>
          </cell>
          <cell r="C1867">
            <v>4039.56</v>
          </cell>
          <cell r="D1867">
            <v>3951.43</v>
          </cell>
          <cell r="E1867">
            <v>4023.61</v>
          </cell>
          <cell r="F1867">
            <v>4023.61</v>
          </cell>
        </row>
        <row r="1868">
          <cell r="A1868">
            <v>44770</v>
          </cell>
          <cell r="B1868">
            <v>4026.13</v>
          </cell>
          <cell r="C1868">
            <v>4078.95</v>
          </cell>
          <cell r="D1868">
            <v>3992.97</v>
          </cell>
          <cell r="E1868">
            <v>4072.43</v>
          </cell>
          <cell r="F1868">
            <v>4072.43</v>
          </cell>
        </row>
        <row r="1869">
          <cell r="A1869">
            <v>44771</v>
          </cell>
          <cell r="B1869">
            <v>4087.33</v>
          </cell>
          <cell r="C1869">
            <v>4140.1499999999996</v>
          </cell>
          <cell r="D1869">
            <v>4079.22</v>
          </cell>
          <cell r="E1869">
            <v>4130.29</v>
          </cell>
          <cell r="F1869">
            <v>4130.29</v>
          </cell>
        </row>
        <row r="1870">
          <cell r="A1870">
            <v>44774</v>
          </cell>
          <cell r="B1870">
            <v>4112.38</v>
          </cell>
          <cell r="C1870">
            <v>4144.95</v>
          </cell>
          <cell r="D1870">
            <v>4096.0200000000004</v>
          </cell>
          <cell r="E1870">
            <v>4118.63</v>
          </cell>
          <cell r="F1870">
            <v>4118.63</v>
          </cell>
        </row>
        <row r="1871">
          <cell r="A1871">
            <v>44775</v>
          </cell>
          <cell r="B1871">
            <v>4104.21</v>
          </cell>
          <cell r="C1871">
            <v>4140.47</v>
          </cell>
          <cell r="D1871">
            <v>4079.81</v>
          </cell>
          <cell r="E1871">
            <v>4091.19</v>
          </cell>
          <cell r="F1871">
            <v>4091.19</v>
          </cell>
        </row>
        <row r="1872">
          <cell r="A1872">
            <v>44776</v>
          </cell>
          <cell r="B1872">
            <v>4107.96</v>
          </cell>
          <cell r="C1872">
            <v>4167.66</v>
          </cell>
          <cell r="D1872">
            <v>4107.96</v>
          </cell>
          <cell r="E1872">
            <v>4155.17</v>
          </cell>
          <cell r="F1872">
            <v>4155.17</v>
          </cell>
        </row>
        <row r="1873">
          <cell r="A1873">
            <v>44777</v>
          </cell>
          <cell r="B1873">
            <v>4154.8500000000004</v>
          </cell>
          <cell r="C1873">
            <v>4161.29</v>
          </cell>
          <cell r="D1873">
            <v>4135.42</v>
          </cell>
          <cell r="E1873">
            <v>4151.9399999999996</v>
          </cell>
          <cell r="F1873">
            <v>4151.9399999999996</v>
          </cell>
        </row>
        <row r="1874">
          <cell r="A1874">
            <v>44778</v>
          </cell>
          <cell r="B1874">
            <v>4115.87</v>
          </cell>
          <cell r="C1874">
            <v>4151.58</v>
          </cell>
          <cell r="D1874">
            <v>4107.3100000000004</v>
          </cell>
          <cell r="E1874">
            <v>4145.1899999999996</v>
          </cell>
          <cell r="F1874">
            <v>4145.1899999999996</v>
          </cell>
        </row>
        <row r="1875">
          <cell r="A1875">
            <v>44781</v>
          </cell>
          <cell r="B1875">
            <v>4155.93</v>
          </cell>
          <cell r="C1875">
            <v>4186.62</v>
          </cell>
          <cell r="D1875">
            <v>4128.97</v>
          </cell>
          <cell r="E1875">
            <v>4140.0600000000004</v>
          </cell>
          <cell r="F1875">
            <v>4140.0600000000004</v>
          </cell>
        </row>
        <row r="1876">
          <cell r="A1876">
            <v>44782</v>
          </cell>
          <cell r="B1876">
            <v>4133.1099999999997</v>
          </cell>
          <cell r="C1876">
            <v>4137.3</v>
          </cell>
          <cell r="D1876">
            <v>4112.09</v>
          </cell>
          <cell r="E1876">
            <v>4122.47</v>
          </cell>
          <cell r="F1876">
            <v>4122.47</v>
          </cell>
        </row>
        <row r="1877">
          <cell r="A1877">
            <v>44783</v>
          </cell>
          <cell r="B1877">
            <v>4181.0200000000004</v>
          </cell>
          <cell r="C1877">
            <v>4211.03</v>
          </cell>
          <cell r="D1877">
            <v>4177.26</v>
          </cell>
          <cell r="E1877">
            <v>4210.24</v>
          </cell>
          <cell r="F1877">
            <v>4210.24</v>
          </cell>
        </row>
        <row r="1878">
          <cell r="A1878">
            <v>44784</v>
          </cell>
          <cell r="B1878">
            <v>4227.3999999999996</v>
          </cell>
          <cell r="C1878">
            <v>4257.91</v>
          </cell>
          <cell r="D1878">
            <v>4201.41</v>
          </cell>
          <cell r="E1878">
            <v>4207.2700000000004</v>
          </cell>
          <cell r="F1878">
            <v>4207.2700000000004</v>
          </cell>
        </row>
        <row r="1879">
          <cell r="A1879">
            <v>44785</v>
          </cell>
          <cell r="B1879">
            <v>4225.0200000000004</v>
          </cell>
          <cell r="C1879">
            <v>4280.47</v>
          </cell>
          <cell r="D1879">
            <v>4219.78</v>
          </cell>
          <cell r="E1879">
            <v>4280.1499999999996</v>
          </cell>
          <cell r="F1879">
            <v>4280.1499999999996</v>
          </cell>
        </row>
        <row r="1880">
          <cell r="A1880">
            <v>44788</v>
          </cell>
          <cell r="B1880">
            <v>4269.37</v>
          </cell>
          <cell r="C1880">
            <v>4301.79</v>
          </cell>
          <cell r="D1880">
            <v>4256.8999999999996</v>
          </cell>
          <cell r="E1880">
            <v>4297.1400000000003</v>
          </cell>
          <cell r="F1880">
            <v>4297.1400000000003</v>
          </cell>
        </row>
        <row r="1881">
          <cell r="A1881">
            <v>44789</v>
          </cell>
          <cell r="B1881">
            <v>4290.46</v>
          </cell>
          <cell r="C1881">
            <v>4325.28</v>
          </cell>
          <cell r="D1881">
            <v>4277.7700000000004</v>
          </cell>
          <cell r="E1881">
            <v>4305.2</v>
          </cell>
          <cell r="F1881">
            <v>4305.2</v>
          </cell>
        </row>
        <row r="1882">
          <cell r="A1882">
            <v>44790</v>
          </cell>
          <cell r="B1882">
            <v>4280.3999999999996</v>
          </cell>
          <cell r="C1882">
            <v>4302.18</v>
          </cell>
          <cell r="D1882">
            <v>4253.08</v>
          </cell>
          <cell r="E1882">
            <v>4274.04</v>
          </cell>
          <cell r="F1882">
            <v>4274.04</v>
          </cell>
        </row>
        <row r="1883">
          <cell r="A1883">
            <v>44791</v>
          </cell>
          <cell r="B1883">
            <v>4273.13</v>
          </cell>
          <cell r="C1883">
            <v>4292.53</v>
          </cell>
          <cell r="D1883">
            <v>4261.9799999999996</v>
          </cell>
          <cell r="E1883">
            <v>4283.74</v>
          </cell>
          <cell r="F1883">
            <v>4283.74</v>
          </cell>
        </row>
        <row r="1884">
          <cell r="A1884">
            <v>44792</v>
          </cell>
          <cell r="B1884">
            <v>4266.3100000000004</v>
          </cell>
          <cell r="C1884">
            <v>4266.3100000000004</v>
          </cell>
          <cell r="D1884">
            <v>4218.7</v>
          </cell>
          <cell r="E1884">
            <v>4228.4799999999996</v>
          </cell>
          <cell r="F1884">
            <v>4228.4799999999996</v>
          </cell>
        </row>
        <row r="1885">
          <cell r="A1885">
            <v>44795</v>
          </cell>
          <cell r="B1885">
            <v>4195.08</v>
          </cell>
          <cell r="C1885">
            <v>4195.08</v>
          </cell>
          <cell r="D1885">
            <v>4129.8599999999997</v>
          </cell>
          <cell r="E1885">
            <v>4137.99</v>
          </cell>
          <cell r="F1885">
            <v>4137.99</v>
          </cell>
        </row>
        <row r="1886">
          <cell r="A1886">
            <v>44796</v>
          </cell>
          <cell r="B1886">
            <v>4133.09</v>
          </cell>
          <cell r="C1886">
            <v>4159.7700000000004</v>
          </cell>
          <cell r="D1886">
            <v>4124.03</v>
          </cell>
          <cell r="E1886">
            <v>4128.7299999999996</v>
          </cell>
          <cell r="F1886">
            <v>4128.7299999999996</v>
          </cell>
        </row>
        <row r="1887">
          <cell r="A1887">
            <v>44797</v>
          </cell>
          <cell r="B1887">
            <v>4126.55</v>
          </cell>
          <cell r="C1887">
            <v>4156.5600000000004</v>
          </cell>
          <cell r="D1887">
            <v>4119.97</v>
          </cell>
          <cell r="E1887">
            <v>4140.7700000000004</v>
          </cell>
          <cell r="F1887">
            <v>4140.7700000000004</v>
          </cell>
        </row>
        <row r="1888">
          <cell r="A1888">
            <v>44798</v>
          </cell>
          <cell r="B1888">
            <v>4153.26</v>
          </cell>
          <cell r="C1888">
            <v>4200.54</v>
          </cell>
          <cell r="D1888">
            <v>4147.59</v>
          </cell>
          <cell r="E1888">
            <v>4199.12</v>
          </cell>
          <cell r="F1888">
            <v>4199.12</v>
          </cell>
        </row>
        <row r="1889">
          <cell r="A1889">
            <v>44799</v>
          </cell>
          <cell r="B1889">
            <v>4198.74</v>
          </cell>
          <cell r="C1889">
            <v>4203.04</v>
          </cell>
          <cell r="D1889">
            <v>4057.66</v>
          </cell>
          <cell r="E1889">
            <v>4057.66</v>
          </cell>
          <cell r="F1889">
            <v>4057.66</v>
          </cell>
        </row>
        <row r="1890">
          <cell r="A1890">
            <v>44802</v>
          </cell>
          <cell r="B1890">
            <v>4034.58</v>
          </cell>
          <cell r="C1890">
            <v>4062.99</v>
          </cell>
          <cell r="D1890">
            <v>4017.42</v>
          </cell>
          <cell r="E1890">
            <v>4030.61</v>
          </cell>
          <cell r="F1890">
            <v>4030.61</v>
          </cell>
        </row>
        <row r="1891">
          <cell r="A1891">
            <v>44803</v>
          </cell>
          <cell r="B1891">
            <v>4041.25</v>
          </cell>
          <cell r="C1891">
            <v>4044.98</v>
          </cell>
          <cell r="D1891">
            <v>3965.21</v>
          </cell>
          <cell r="E1891">
            <v>3986.16</v>
          </cell>
          <cell r="F1891">
            <v>3986.16</v>
          </cell>
        </row>
        <row r="1892">
          <cell r="A1892">
            <v>44804</v>
          </cell>
          <cell r="B1892">
            <v>4000.67</v>
          </cell>
          <cell r="C1892">
            <v>4015.37</v>
          </cell>
          <cell r="D1892">
            <v>3954.53</v>
          </cell>
          <cell r="E1892">
            <v>3955</v>
          </cell>
          <cell r="F1892">
            <v>3955</v>
          </cell>
        </row>
        <row r="1893">
          <cell r="A1893">
            <v>44805</v>
          </cell>
          <cell r="B1893">
            <v>3936.73</v>
          </cell>
          <cell r="C1893">
            <v>3970.23</v>
          </cell>
          <cell r="D1893">
            <v>3903.65</v>
          </cell>
          <cell r="E1893">
            <v>3966.85</v>
          </cell>
          <cell r="F1893">
            <v>3966.85</v>
          </cell>
        </row>
        <row r="1894">
          <cell r="A1894">
            <v>44806</v>
          </cell>
          <cell r="B1894">
            <v>3994.66</v>
          </cell>
          <cell r="C1894">
            <v>4018.43</v>
          </cell>
          <cell r="D1894">
            <v>3906.21</v>
          </cell>
          <cell r="E1894">
            <v>3924.26</v>
          </cell>
          <cell r="F1894">
            <v>3924.26</v>
          </cell>
        </row>
        <row r="1895">
          <cell r="A1895">
            <v>44810</v>
          </cell>
          <cell r="B1895">
            <v>3930.89</v>
          </cell>
          <cell r="C1895">
            <v>3942.55</v>
          </cell>
          <cell r="D1895">
            <v>3886.75</v>
          </cell>
          <cell r="E1895">
            <v>3908.19</v>
          </cell>
          <cell r="F1895">
            <v>3908.19</v>
          </cell>
        </row>
        <row r="1896">
          <cell r="A1896">
            <v>44811</v>
          </cell>
          <cell r="B1896">
            <v>3909.43</v>
          </cell>
          <cell r="C1896">
            <v>3987.89</v>
          </cell>
          <cell r="D1896">
            <v>3906.03</v>
          </cell>
          <cell r="E1896">
            <v>3979.87</v>
          </cell>
          <cell r="F1896">
            <v>3979.87</v>
          </cell>
        </row>
        <row r="1897">
          <cell r="A1897">
            <v>44812</v>
          </cell>
          <cell r="B1897">
            <v>3959.94</v>
          </cell>
          <cell r="C1897">
            <v>4010.5</v>
          </cell>
          <cell r="D1897">
            <v>3944.81</v>
          </cell>
          <cell r="E1897">
            <v>4006.18</v>
          </cell>
          <cell r="F1897">
            <v>4006.18</v>
          </cell>
        </row>
        <row r="1898">
          <cell r="A1898">
            <v>44813</v>
          </cell>
          <cell r="B1898">
            <v>4022.94</v>
          </cell>
          <cell r="C1898">
            <v>4076.81</v>
          </cell>
          <cell r="D1898">
            <v>4022.94</v>
          </cell>
          <cell r="E1898">
            <v>4067.36</v>
          </cell>
          <cell r="F1898">
            <v>4067.36</v>
          </cell>
        </row>
        <row r="1899">
          <cell r="A1899">
            <v>44816</v>
          </cell>
          <cell r="B1899">
            <v>4083.67</v>
          </cell>
          <cell r="C1899">
            <v>4119.28</v>
          </cell>
          <cell r="D1899">
            <v>4083.67</v>
          </cell>
          <cell r="E1899">
            <v>4110.41</v>
          </cell>
          <cell r="F1899">
            <v>4110.41</v>
          </cell>
        </row>
        <row r="1900">
          <cell r="A1900">
            <v>44817</v>
          </cell>
          <cell r="B1900">
            <v>4037.12</v>
          </cell>
          <cell r="C1900">
            <v>4037.12</v>
          </cell>
          <cell r="D1900">
            <v>3921.28</v>
          </cell>
          <cell r="E1900">
            <v>3932.69</v>
          </cell>
          <cell r="F1900">
            <v>3932.69</v>
          </cell>
        </row>
        <row r="1901">
          <cell r="A1901">
            <v>44818</v>
          </cell>
          <cell r="B1901">
            <v>3940.73</v>
          </cell>
          <cell r="C1901">
            <v>3961.94</v>
          </cell>
          <cell r="D1901">
            <v>3912.18</v>
          </cell>
          <cell r="E1901">
            <v>3946.01</v>
          </cell>
          <cell r="F1901">
            <v>3946.01</v>
          </cell>
        </row>
        <row r="1902">
          <cell r="A1902">
            <v>44819</v>
          </cell>
          <cell r="B1902">
            <v>3932.41</v>
          </cell>
          <cell r="C1902">
            <v>3959.14</v>
          </cell>
          <cell r="D1902">
            <v>3888.28</v>
          </cell>
          <cell r="E1902">
            <v>3901.35</v>
          </cell>
          <cell r="F1902">
            <v>3901.35</v>
          </cell>
        </row>
        <row r="1903">
          <cell r="A1903">
            <v>44820</v>
          </cell>
          <cell r="B1903">
            <v>3880.95</v>
          </cell>
          <cell r="C1903">
            <v>3880.95</v>
          </cell>
          <cell r="D1903">
            <v>3837.08</v>
          </cell>
          <cell r="E1903">
            <v>3873.33</v>
          </cell>
          <cell r="F1903">
            <v>3873.33</v>
          </cell>
        </row>
        <row r="1904">
          <cell r="A1904">
            <v>44823</v>
          </cell>
          <cell r="B1904">
            <v>3849.91</v>
          </cell>
          <cell r="C1904">
            <v>3900.45</v>
          </cell>
          <cell r="D1904">
            <v>3838.5</v>
          </cell>
          <cell r="E1904">
            <v>3899.89</v>
          </cell>
          <cell r="F1904">
            <v>3899.89</v>
          </cell>
        </row>
        <row r="1905">
          <cell r="A1905">
            <v>44824</v>
          </cell>
          <cell r="B1905">
            <v>3875.23</v>
          </cell>
          <cell r="C1905">
            <v>3876.01</v>
          </cell>
          <cell r="D1905">
            <v>3827.54</v>
          </cell>
          <cell r="E1905">
            <v>3855.93</v>
          </cell>
          <cell r="F1905">
            <v>3855.93</v>
          </cell>
        </row>
        <row r="1906">
          <cell r="A1906">
            <v>44825</v>
          </cell>
          <cell r="B1906">
            <v>3871.4</v>
          </cell>
          <cell r="C1906">
            <v>3907.07</v>
          </cell>
          <cell r="D1906">
            <v>3789.49</v>
          </cell>
          <cell r="E1906">
            <v>3789.93</v>
          </cell>
          <cell r="F1906">
            <v>3789.93</v>
          </cell>
        </row>
        <row r="1907">
          <cell r="A1907">
            <v>44826</v>
          </cell>
          <cell r="B1907">
            <v>3782.36</v>
          </cell>
          <cell r="C1907">
            <v>3790.9</v>
          </cell>
          <cell r="D1907">
            <v>3749.45</v>
          </cell>
          <cell r="E1907">
            <v>3757.99</v>
          </cell>
          <cell r="F1907">
            <v>3757.99</v>
          </cell>
        </row>
        <row r="1908">
          <cell r="A1908">
            <v>44827</v>
          </cell>
          <cell r="B1908">
            <v>3727.14</v>
          </cell>
          <cell r="C1908">
            <v>3727.14</v>
          </cell>
          <cell r="D1908">
            <v>3647.47</v>
          </cell>
          <cell r="E1908">
            <v>3693.23</v>
          </cell>
          <cell r="F1908">
            <v>3693.23</v>
          </cell>
        </row>
        <row r="1909">
          <cell r="A1909">
            <v>44830</v>
          </cell>
          <cell r="B1909">
            <v>3682.72</v>
          </cell>
          <cell r="C1909">
            <v>3715.67</v>
          </cell>
          <cell r="D1909">
            <v>3644.76</v>
          </cell>
          <cell r="E1909">
            <v>3655.04</v>
          </cell>
          <cell r="F1909">
            <v>3655.04</v>
          </cell>
        </row>
        <row r="1910">
          <cell r="A1910">
            <v>44831</v>
          </cell>
          <cell r="B1910">
            <v>3686.44</v>
          </cell>
          <cell r="C1910">
            <v>3717.53</v>
          </cell>
          <cell r="D1910">
            <v>3623.29</v>
          </cell>
          <cell r="E1910">
            <v>3647.29</v>
          </cell>
          <cell r="F1910">
            <v>3647.29</v>
          </cell>
        </row>
        <row r="1911">
          <cell r="A1911">
            <v>44832</v>
          </cell>
          <cell r="B1911">
            <v>3651.94</v>
          </cell>
          <cell r="C1911">
            <v>3736.74</v>
          </cell>
          <cell r="D1911">
            <v>3640.61</v>
          </cell>
          <cell r="E1911">
            <v>3719.04</v>
          </cell>
          <cell r="F1911">
            <v>3719.04</v>
          </cell>
        </row>
        <row r="1912">
          <cell r="A1912">
            <v>44833</v>
          </cell>
          <cell r="B1912">
            <v>3687.01</v>
          </cell>
          <cell r="C1912">
            <v>3687.01</v>
          </cell>
          <cell r="D1912">
            <v>3610.4</v>
          </cell>
          <cell r="E1912">
            <v>3640.47</v>
          </cell>
          <cell r="F1912">
            <v>3640.47</v>
          </cell>
        </row>
        <row r="1913">
          <cell r="A1913">
            <v>44834</v>
          </cell>
          <cell r="B1913">
            <v>3633.48</v>
          </cell>
          <cell r="C1913">
            <v>3671.44</v>
          </cell>
          <cell r="D1913">
            <v>3584.13</v>
          </cell>
          <cell r="E1913">
            <v>3585.62</v>
          </cell>
          <cell r="F1913">
            <v>3585.62</v>
          </cell>
        </row>
        <row r="1914">
          <cell r="A1914">
            <v>44837</v>
          </cell>
          <cell r="B1914">
            <v>3609.78</v>
          </cell>
          <cell r="C1914">
            <v>3698.35</v>
          </cell>
          <cell r="D1914">
            <v>3604.93</v>
          </cell>
          <cell r="E1914">
            <v>3678.43</v>
          </cell>
          <cell r="F1914">
            <v>3678.43</v>
          </cell>
        </row>
        <row r="1915">
          <cell r="A1915">
            <v>44838</v>
          </cell>
          <cell r="B1915">
            <v>3726.46</v>
          </cell>
          <cell r="C1915">
            <v>3791.92</v>
          </cell>
          <cell r="D1915">
            <v>3726.46</v>
          </cell>
          <cell r="E1915">
            <v>3790.93</v>
          </cell>
          <cell r="F1915">
            <v>3790.93</v>
          </cell>
        </row>
        <row r="1916">
          <cell r="A1916">
            <v>44839</v>
          </cell>
          <cell r="B1916">
            <v>3753.25</v>
          </cell>
          <cell r="C1916">
            <v>3806.91</v>
          </cell>
          <cell r="D1916">
            <v>3722.66</v>
          </cell>
          <cell r="E1916">
            <v>3783.28</v>
          </cell>
          <cell r="F1916">
            <v>3783.28</v>
          </cell>
        </row>
        <row r="1917">
          <cell r="A1917">
            <v>44840</v>
          </cell>
          <cell r="B1917">
            <v>3771.97</v>
          </cell>
          <cell r="C1917">
            <v>3797.93</v>
          </cell>
          <cell r="D1917">
            <v>3739.22</v>
          </cell>
          <cell r="E1917">
            <v>3744.52</v>
          </cell>
          <cell r="F1917">
            <v>3744.52</v>
          </cell>
        </row>
        <row r="1918">
          <cell r="A1918">
            <v>44841</v>
          </cell>
          <cell r="B1918">
            <v>3706.74</v>
          </cell>
          <cell r="C1918">
            <v>3706.74</v>
          </cell>
          <cell r="D1918">
            <v>3620.73</v>
          </cell>
          <cell r="E1918">
            <v>3639.66</v>
          </cell>
          <cell r="F1918">
            <v>3639.66</v>
          </cell>
        </row>
        <row r="1919">
          <cell r="A1919">
            <v>44844</v>
          </cell>
          <cell r="B1919">
            <v>3647.51</v>
          </cell>
          <cell r="C1919">
            <v>3652.17</v>
          </cell>
          <cell r="D1919">
            <v>3588.1</v>
          </cell>
          <cell r="E1919">
            <v>3612.39</v>
          </cell>
          <cell r="F1919">
            <v>3612.39</v>
          </cell>
        </row>
        <row r="1920">
          <cell r="A1920">
            <v>44845</v>
          </cell>
          <cell r="B1920">
            <v>3595.86</v>
          </cell>
          <cell r="C1920">
            <v>3640.66</v>
          </cell>
          <cell r="D1920">
            <v>3568.45</v>
          </cell>
          <cell r="E1920">
            <v>3588.84</v>
          </cell>
          <cell r="F1920">
            <v>3588.84</v>
          </cell>
        </row>
        <row r="1921">
          <cell r="A1921">
            <v>44846</v>
          </cell>
          <cell r="B1921">
            <v>3590.83</v>
          </cell>
          <cell r="C1921">
            <v>3608.34</v>
          </cell>
          <cell r="D1921">
            <v>3573.86</v>
          </cell>
          <cell r="E1921">
            <v>3577.03</v>
          </cell>
          <cell r="F1921">
            <v>3577.03</v>
          </cell>
        </row>
        <row r="1922">
          <cell r="A1922">
            <v>44847</v>
          </cell>
          <cell r="B1922">
            <v>3520.37</v>
          </cell>
          <cell r="C1922">
            <v>3685.41</v>
          </cell>
          <cell r="D1922">
            <v>3491.58</v>
          </cell>
          <cell r="E1922">
            <v>3669.91</v>
          </cell>
          <cell r="F1922">
            <v>3669.91</v>
          </cell>
        </row>
        <row r="1923">
          <cell r="A1923">
            <v>44848</v>
          </cell>
          <cell r="B1923">
            <v>3690.41</v>
          </cell>
          <cell r="C1923">
            <v>3712</v>
          </cell>
          <cell r="D1923">
            <v>3579.68</v>
          </cell>
          <cell r="E1923">
            <v>3583.07</v>
          </cell>
          <cell r="F1923">
            <v>3583.07</v>
          </cell>
        </row>
        <row r="1924">
          <cell r="A1924">
            <v>44851</v>
          </cell>
          <cell r="B1924">
            <v>3638.65</v>
          </cell>
          <cell r="C1924">
            <v>3689.73</v>
          </cell>
          <cell r="D1924">
            <v>3638.65</v>
          </cell>
          <cell r="E1924">
            <v>3677.95</v>
          </cell>
          <cell r="F1924">
            <v>3677.95</v>
          </cell>
        </row>
        <row r="1925">
          <cell r="A1925">
            <v>44852</v>
          </cell>
          <cell r="B1925">
            <v>3746.26</v>
          </cell>
          <cell r="C1925">
            <v>3762.79</v>
          </cell>
          <cell r="D1925">
            <v>3686.53</v>
          </cell>
          <cell r="E1925">
            <v>3719.98</v>
          </cell>
          <cell r="F1925">
            <v>3719.98</v>
          </cell>
        </row>
        <row r="1926">
          <cell r="A1926">
            <v>44853</v>
          </cell>
          <cell r="B1926">
            <v>3703.11</v>
          </cell>
          <cell r="C1926">
            <v>3728.58</v>
          </cell>
          <cell r="D1926">
            <v>3666.51</v>
          </cell>
          <cell r="E1926">
            <v>3695.16</v>
          </cell>
          <cell r="F1926">
            <v>3695.16</v>
          </cell>
        </row>
        <row r="1927">
          <cell r="A1927">
            <v>44854</v>
          </cell>
          <cell r="B1927">
            <v>3689.05</v>
          </cell>
          <cell r="C1927">
            <v>3736</v>
          </cell>
          <cell r="D1927">
            <v>3656.44</v>
          </cell>
          <cell r="E1927">
            <v>3665.78</v>
          </cell>
          <cell r="F1927">
            <v>3665.78</v>
          </cell>
        </row>
        <row r="1928">
          <cell r="A1928">
            <v>44855</v>
          </cell>
          <cell r="B1928">
            <v>3657.1</v>
          </cell>
          <cell r="C1928">
            <v>3757.89</v>
          </cell>
          <cell r="D1928">
            <v>3647.42</v>
          </cell>
          <cell r="E1928">
            <v>3752.75</v>
          </cell>
          <cell r="F1928">
            <v>3752.75</v>
          </cell>
        </row>
        <row r="1929">
          <cell r="A1929">
            <v>44858</v>
          </cell>
          <cell r="B1929">
            <v>3762.01</v>
          </cell>
          <cell r="C1929">
            <v>3810.74</v>
          </cell>
          <cell r="D1929">
            <v>3741.65</v>
          </cell>
          <cell r="E1929">
            <v>3797.34</v>
          </cell>
          <cell r="F1929">
            <v>3797.34</v>
          </cell>
        </row>
        <row r="1930">
          <cell r="A1930">
            <v>44859</v>
          </cell>
          <cell r="B1930">
            <v>3799.44</v>
          </cell>
          <cell r="C1930">
            <v>3862.85</v>
          </cell>
          <cell r="D1930">
            <v>3799.44</v>
          </cell>
          <cell r="E1930">
            <v>3859.11</v>
          </cell>
          <cell r="F1930">
            <v>3859.11</v>
          </cell>
        </row>
        <row r="1931">
          <cell r="A1931">
            <v>44860</v>
          </cell>
          <cell r="B1931">
            <v>3825.97</v>
          </cell>
          <cell r="C1931">
            <v>3886.15</v>
          </cell>
          <cell r="D1931">
            <v>3824.07</v>
          </cell>
          <cell r="E1931">
            <v>3830.6</v>
          </cell>
          <cell r="F1931">
            <v>3830.6</v>
          </cell>
        </row>
        <row r="1932">
          <cell r="A1932">
            <v>44861</v>
          </cell>
          <cell r="B1932">
            <v>3834.69</v>
          </cell>
          <cell r="C1932">
            <v>3859.95</v>
          </cell>
          <cell r="D1932">
            <v>3803.79</v>
          </cell>
          <cell r="E1932">
            <v>3807.3</v>
          </cell>
          <cell r="F1932">
            <v>3807.3</v>
          </cell>
        </row>
        <row r="1933">
          <cell r="A1933">
            <v>44862</v>
          </cell>
          <cell r="B1933">
            <v>3808.26</v>
          </cell>
          <cell r="C1933">
            <v>3905.42</v>
          </cell>
          <cell r="D1933">
            <v>3808.26</v>
          </cell>
          <cell r="E1933">
            <v>3901.06</v>
          </cell>
          <cell r="F1933">
            <v>3901.06</v>
          </cell>
        </row>
        <row r="1934">
          <cell r="A1934">
            <v>44865</v>
          </cell>
          <cell r="B1934">
            <v>3881.85</v>
          </cell>
          <cell r="C1934">
            <v>3893.73</v>
          </cell>
          <cell r="D1934">
            <v>3863.18</v>
          </cell>
          <cell r="E1934">
            <v>3871.98</v>
          </cell>
          <cell r="F1934">
            <v>3871.98</v>
          </cell>
        </row>
        <row r="1935">
          <cell r="A1935">
            <v>44866</v>
          </cell>
          <cell r="B1935">
            <v>3901.79</v>
          </cell>
          <cell r="C1935">
            <v>3911.79</v>
          </cell>
          <cell r="D1935">
            <v>3843.8</v>
          </cell>
          <cell r="E1935">
            <v>3856.1</v>
          </cell>
          <cell r="F1935">
            <v>3856.1</v>
          </cell>
        </row>
        <row r="1936">
          <cell r="A1936">
            <v>44867</v>
          </cell>
          <cell r="B1936">
            <v>3852.9</v>
          </cell>
          <cell r="C1936">
            <v>3894.44</v>
          </cell>
          <cell r="D1936">
            <v>3758.68</v>
          </cell>
          <cell r="E1936">
            <v>3759.69</v>
          </cell>
          <cell r="F1936">
            <v>3759.69</v>
          </cell>
        </row>
        <row r="1937">
          <cell r="A1937">
            <v>44868</v>
          </cell>
          <cell r="B1937">
            <v>3733.25</v>
          </cell>
          <cell r="C1937">
            <v>3750.59</v>
          </cell>
          <cell r="D1937">
            <v>3698.15</v>
          </cell>
          <cell r="E1937">
            <v>3719.89</v>
          </cell>
          <cell r="F1937">
            <v>3719.89</v>
          </cell>
        </row>
        <row r="1938">
          <cell r="A1938">
            <v>44869</v>
          </cell>
          <cell r="B1938">
            <v>3766.98</v>
          </cell>
          <cell r="C1938">
            <v>3796.34</v>
          </cell>
          <cell r="D1938">
            <v>3708.84</v>
          </cell>
          <cell r="E1938">
            <v>3770.55</v>
          </cell>
          <cell r="F1938">
            <v>3770.55</v>
          </cell>
        </row>
        <row r="1939">
          <cell r="A1939">
            <v>44872</v>
          </cell>
          <cell r="B1939">
            <v>3780.71</v>
          </cell>
          <cell r="C1939">
            <v>3813.95</v>
          </cell>
          <cell r="D1939">
            <v>3764.7</v>
          </cell>
          <cell r="E1939">
            <v>3806.8</v>
          </cell>
          <cell r="F1939">
            <v>3806.8</v>
          </cell>
        </row>
        <row r="1940">
          <cell r="A1940">
            <v>44873</v>
          </cell>
          <cell r="B1940">
            <v>3817.02</v>
          </cell>
          <cell r="C1940">
            <v>3859.4</v>
          </cell>
          <cell r="D1940">
            <v>3786.28</v>
          </cell>
          <cell r="E1940">
            <v>3828.11</v>
          </cell>
          <cell r="F1940">
            <v>3828.11</v>
          </cell>
        </row>
        <row r="1941">
          <cell r="A1941">
            <v>44874</v>
          </cell>
          <cell r="B1941">
            <v>3810.94</v>
          </cell>
          <cell r="C1941">
            <v>3818.2</v>
          </cell>
          <cell r="D1941">
            <v>3744.22</v>
          </cell>
          <cell r="E1941">
            <v>3748.57</v>
          </cell>
          <cell r="F1941">
            <v>3748.57</v>
          </cell>
        </row>
        <row r="1942">
          <cell r="A1942">
            <v>44875</v>
          </cell>
          <cell r="B1942">
            <v>3859.89</v>
          </cell>
          <cell r="C1942">
            <v>3958.33</v>
          </cell>
          <cell r="D1942">
            <v>3859.89</v>
          </cell>
          <cell r="E1942">
            <v>3956.37</v>
          </cell>
          <cell r="F1942">
            <v>3956.37</v>
          </cell>
        </row>
        <row r="1943">
          <cell r="A1943">
            <v>44876</v>
          </cell>
          <cell r="B1943">
            <v>3963.72</v>
          </cell>
          <cell r="C1943">
            <v>4001.48</v>
          </cell>
          <cell r="D1943">
            <v>3944.82</v>
          </cell>
          <cell r="E1943">
            <v>3992.93</v>
          </cell>
          <cell r="F1943">
            <v>3992.93</v>
          </cell>
        </row>
        <row r="1944">
          <cell r="A1944">
            <v>44879</v>
          </cell>
          <cell r="B1944">
            <v>3977.97</v>
          </cell>
          <cell r="C1944">
            <v>4008.97</v>
          </cell>
          <cell r="D1944">
            <v>3956.4</v>
          </cell>
          <cell r="E1944">
            <v>3957.25</v>
          </cell>
          <cell r="F1944">
            <v>3957.25</v>
          </cell>
        </row>
        <row r="1945">
          <cell r="A1945">
            <v>44880</v>
          </cell>
          <cell r="B1945">
            <v>4006.41</v>
          </cell>
          <cell r="C1945">
            <v>4028.84</v>
          </cell>
          <cell r="D1945">
            <v>3953.17</v>
          </cell>
          <cell r="E1945">
            <v>3991.73</v>
          </cell>
          <cell r="F1945">
            <v>3991.73</v>
          </cell>
        </row>
        <row r="1946">
          <cell r="A1946">
            <v>44881</v>
          </cell>
          <cell r="B1946">
            <v>3976.82</v>
          </cell>
          <cell r="C1946">
            <v>3983.09</v>
          </cell>
          <cell r="D1946">
            <v>3954.34</v>
          </cell>
          <cell r="E1946">
            <v>3958.79</v>
          </cell>
          <cell r="F1946">
            <v>3958.79</v>
          </cell>
        </row>
        <row r="1947">
          <cell r="A1947">
            <v>44882</v>
          </cell>
          <cell r="B1947">
            <v>3919.26</v>
          </cell>
          <cell r="C1947">
            <v>3954.33</v>
          </cell>
          <cell r="D1947">
            <v>3906.54</v>
          </cell>
          <cell r="E1947">
            <v>3946.56</v>
          </cell>
          <cell r="F1947">
            <v>3946.56</v>
          </cell>
        </row>
        <row r="1948">
          <cell r="A1948">
            <v>44883</v>
          </cell>
          <cell r="B1948">
            <v>3966.39</v>
          </cell>
          <cell r="C1948">
            <v>3979.89</v>
          </cell>
          <cell r="D1948">
            <v>3935.98</v>
          </cell>
          <cell r="E1948">
            <v>3965.34</v>
          </cell>
          <cell r="F1948">
            <v>3965.34</v>
          </cell>
        </row>
        <row r="1949">
          <cell r="A1949">
            <v>44886</v>
          </cell>
          <cell r="B1949">
            <v>3956.23</v>
          </cell>
          <cell r="C1949">
            <v>3962</v>
          </cell>
          <cell r="D1949">
            <v>3933.34</v>
          </cell>
          <cell r="E1949">
            <v>3949.94</v>
          </cell>
          <cell r="F1949">
            <v>3949.94</v>
          </cell>
        </row>
        <row r="1950">
          <cell r="A1950">
            <v>44887</v>
          </cell>
          <cell r="B1950">
            <v>3965.51</v>
          </cell>
          <cell r="C1950">
            <v>4005.88</v>
          </cell>
          <cell r="D1950">
            <v>3956.88</v>
          </cell>
          <cell r="E1950">
            <v>4003.58</v>
          </cell>
          <cell r="F1950">
            <v>4003.58</v>
          </cell>
        </row>
        <row r="1951">
          <cell r="A1951">
            <v>44888</v>
          </cell>
          <cell r="B1951">
            <v>4000.3</v>
          </cell>
          <cell r="C1951">
            <v>4033.78</v>
          </cell>
          <cell r="D1951">
            <v>3998.66</v>
          </cell>
          <cell r="E1951">
            <v>4027.26</v>
          </cell>
          <cell r="F1951">
            <v>4027.26</v>
          </cell>
        </row>
        <row r="1952">
          <cell r="A1952">
            <v>44890</v>
          </cell>
          <cell r="B1952">
            <v>4023.34</v>
          </cell>
          <cell r="C1952">
            <v>4034.02</v>
          </cell>
          <cell r="D1952">
            <v>4020.76</v>
          </cell>
          <cell r="E1952">
            <v>4026.12</v>
          </cell>
          <cell r="F1952">
            <v>4026.12</v>
          </cell>
        </row>
        <row r="1953">
          <cell r="A1953">
            <v>44893</v>
          </cell>
          <cell r="B1953">
            <v>4005.36</v>
          </cell>
          <cell r="C1953">
            <v>4012.27</v>
          </cell>
          <cell r="D1953">
            <v>3955.77</v>
          </cell>
          <cell r="E1953">
            <v>3963.94</v>
          </cell>
          <cell r="F1953">
            <v>3963.94</v>
          </cell>
        </row>
        <row r="1954">
          <cell r="A1954">
            <v>44894</v>
          </cell>
          <cell r="B1954">
            <v>3964.19</v>
          </cell>
          <cell r="C1954">
            <v>3976.77</v>
          </cell>
          <cell r="D1954">
            <v>3937.65</v>
          </cell>
          <cell r="E1954">
            <v>3957.63</v>
          </cell>
          <cell r="F1954">
            <v>3957.63</v>
          </cell>
        </row>
        <row r="1955">
          <cell r="A1955">
            <v>44895</v>
          </cell>
          <cell r="B1955">
            <v>3957.18</v>
          </cell>
          <cell r="C1955">
            <v>4080.11</v>
          </cell>
          <cell r="D1955">
            <v>3938.58</v>
          </cell>
          <cell r="E1955">
            <v>4080.11</v>
          </cell>
          <cell r="F1955">
            <v>4080.11</v>
          </cell>
        </row>
        <row r="1956">
          <cell r="A1956">
            <v>44896</v>
          </cell>
          <cell r="B1956">
            <v>4087.14</v>
          </cell>
          <cell r="C1956">
            <v>4100.51</v>
          </cell>
          <cell r="D1956">
            <v>4050.87</v>
          </cell>
          <cell r="E1956">
            <v>4076.57</v>
          </cell>
          <cell r="F1956">
            <v>4076.57</v>
          </cell>
        </row>
        <row r="1957">
          <cell r="A1957">
            <v>44897</v>
          </cell>
          <cell r="B1957">
            <v>4040.17</v>
          </cell>
          <cell r="C1957">
            <v>4080.48</v>
          </cell>
          <cell r="D1957">
            <v>4026.63</v>
          </cell>
          <cell r="E1957">
            <v>4071.7</v>
          </cell>
          <cell r="F1957">
            <v>4071.7</v>
          </cell>
        </row>
        <row r="1958">
          <cell r="A1958">
            <v>44900</v>
          </cell>
          <cell r="B1958">
            <v>4052.02</v>
          </cell>
          <cell r="C1958">
            <v>4052.45</v>
          </cell>
          <cell r="D1958">
            <v>3984.49</v>
          </cell>
          <cell r="E1958">
            <v>3998.84</v>
          </cell>
          <cell r="F1958">
            <v>3998.84</v>
          </cell>
        </row>
        <row r="1959">
          <cell r="A1959">
            <v>44901</v>
          </cell>
          <cell r="B1959">
            <v>3996.63</v>
          </cell>
          <cell r="C1959">
            <v>4001.51</v>
          </cell>
          <cell r="D1959">
            <v>3918.39</v>
          </cell>
          <cell r="E1959">
            <v>3941.26</v>
          </cell>
          <cell r="F1959">
            <v>3941.26</v>
          </cell>
        </row>
        <row r="1960">
          <cell r="A1960">
            <v>44902</v>
          </cell>
          <cell r="B1960">
            <v>3933.28</v>
          </cell>
          <cell r="C1960">
            <v>3957.57</v>
          </cell>
          <cell r="D1960">
            <v>3922.68</v>
          </cell>
          <cell r="E1960">
            <v>3933.92</v>
          </cell>
          <cell r="F1960">
            <v>3933.92</v>
          </cell>
        </row>
        <row r="1961">
          <cell r="A1961">
            <v>44903</v>
          </cell>
          <cell r="B1961">
            <v>3947.79</v>
          </cell>
          <cell r="C1961">
            <v>3974.19</v>
          </cell>
          <cell r="D1961">
            <v>3935.83</v>
          </cell>
          <cell r="E1961">
            <v>3963.51</v>
          </cell>
          <cell r="F1961">
            <v>3963.51</v>
          </cell>
        </row>
        <row r="1962">
          <cell r="A1962">
            <v>44904</v>
          </cell>
          <cell r="B1962">
            <v>3954.17</v>
          </cell>
          <cell r="C1962">
            <v>3977.02</v>
          </cell>
          <cell r="D1962">
            <v>3933.04</v>
          </cell>
          <cell r="E1962">
            <v>3934.38</v>
          </cell>
          <cell r="F1962">
            <v>3934.38</v>
          </cell>
        </row>
        <row r="1963">
          <cell r="A1963">
            <v>44907</v>
          </cell>
          <cell r="B1963">
            <v>3939.29</v>
          </cell>
          <cell r="C1963">
            <v>3990.71</v>
          </cell>
          <cell r="D1963">
            <v>3935.3</v>
          </cell>
          <cell r="E1963">
            <v>3990.56</v>
          </cell>
          <cell r="F1963">
            <v>3990.56</v>
          </cell>
        </row>
        <row r="1964">
          <cell r="A1964">
            <v>44908</v>
          </cell>
          <cell r="B1964">
            <v>4069.38</v>
          </cell>
          <cell r="C1964">
            <v>4100.96</v>
          </cell>
          <cell r="D1964">
            <v>3993.03</v>
          </cell>
          <cell r="E1964">
            <v>4019.65</v>
          </cell>
          <cell r="F1964">
            <v>4019.65</v>
          </cell>
        </row>
        <row r="1965">
          <cell r="A1965">
            <v>44909</v>
          </cell>
          <cell r="B1965">
            <v>4015.54</v>
          </cell>
          <cell r="C1965">
            <v>4053.76</v>
          </cell>
          <cell r="D1965">
            <v>3965.65</v>
          </cell>
          <cell r="E1965">
            <v>3995.32</v>
          </cell>
          <cell r="F1965">
            <v>3995.32</v>
          </cell>
        </row>
        <row r="1966">
          <cell r="A1966">
            <v>44910</v>
          </cell>
          <cell r="B1966">
            <v>3958.37</v>
          </cell>
          <cell r="C1966">
            <v>3958.37</v>
          </cell>
          <cell r="D1966">
            <v>3879.45</v>
          </cell>
          <cell r="E1966">
            <v>3895.75</v>
          </cell>
          <cell r="F1966">
            <v>3895.75</v>
          </cell>
        </row>
        <row r="1967">
          <cell r="A1967">
            <v>44911</v>
          </cell>
          <cell r="B1967">
            <v>3890.91</v>
          </cell>
          <cell r="C1967">
            <v>3890.91</v>
          </cell>
          <cell r="D1967">
            <v>3827.91</v>
          </cell>
          <cell r="E1967">
            <v>3852.36</v>
          </cell>
          <cell r="F1967">
            <v>3852.36</v>
          </cell>
        </row>
        <row r="1968">
          <cell r="A1968">
            <v>44914</v>
          </cell>
          <cell r="B1968">
            <v>3853.79</v>
          </cell>
          <cell r="C1968">
            <v>3854.86</v>
          </cell>
          <cell r="D1968">
            <v>3800.04</v>
          </cell>
          <cell r="E1968">
            <v>3817.66</v>
          </cell>
          <cell r="F1968">
            <v>3817.66</v>
          </cell>
        </row>
        <row r="1969">
          <cell r="A1969">
            <v>44915</v>
          </cell>
          <cell r="B1969">
            <v>3810.47</v>
          </cell>
          <cell r="C1969">
            <v>3838.24</v>
          </cell>
          <cell r="D1969">
            <v>3795.62</v>
          </cell>
          <cell r="E1969">
            <v>3821.62</v>
          </cell>
          <cell r="F1969">
            <v>3821.62</v>
          </cell>
        </row>
        <row r="1970">
          <cell r="A1970">
            <v>44916</v>
          </cell>
          <cell r="B1970">
            <v>3839.49</v>
          </cell>
          <cell r="C1970">
            <v>3889.82</v>
          </cell>
          <cell r="D1970">
            <v>3839.49</v>
          </cell>
          <cell r="E1970">
            <v>3878.44</v>
          </cell>
          <cell r="F1970">
            <v>3878.44</v>
          </cell>
        </row>
        <row r="1971">
          <cell r="A1971">
            <v>44917</v>
          </cell>
          <cell r="B1971">
            <v>3853.26</v>
          </cell>
          <cell r="C1971">
            <v>3853.26</v>
          </cell>
          <cell r="D1971">
            <v>3764.49</v>
          </cell>
          <cell r="E1971">
            <v>3822.39</v>
          </cell>
          <cell r="F1971">
            <v>3822.39</v>
          </cell>
        </row>
        <row r="1972">
          <cell r="A1972">
            <v>44918</v>
          </cell>
          <cell r="B1972">
            <v>3815.11</v>
          </cell>
          <cell r="C1972">
            <v>3845.8</v>
          </cell>
          <cell r="D1972">
            <v>3797.01</v>
          </cell>
          <cell r="E1972">
            <v>3844.82</v>
          </cell>
          <cell r="F1972">
            <v>3844.82</v>
          </cell>
        </row>
        <row r="1973">
          <cell r="A1973">
            <v>44922</v>
          </cell>
          <cell r="B1973">
            <v>3843.34</v>
          </cell>
          <cell r="C1973">
            <v>3846.65</v>
          </cell>
          <cell r="D1973">
            <v>3813.22</v>
          </cell>
          <cell r="E1973">
            <v>3829.25</v>
          </cell>
          <cell r="F1973">
            <v>3829.25</v>
          </cell>
        </row>
        <row r="1974">
          <cell r="A1974">
            <v>44923</v>
          </cell>
          <cell r="B1974">
            <v>3829.56</v>
          </cell>
          <cell r="C1974">
            <v>3848.32</v>
          </cell>
          <cell r="D1974">
            <v>3780.78</v>
          </cell>
          <cell r="E1974">
            <v>3783.22</v>
          </cell>
          <cell r="F1974">
            <v>3783.22</v>
          </cell>
        </row>
        <row r="1975">
          <cell r="A1975">
            <v>44924</v>
          </cell>
          <cell r="B1975">
            <v>3805.45</v>
          </cell>
          <cell r="C1975">
            <v>3858.19</v>
          </cell>
          <cell r="D1975">
            <v>3805.45</v>
          </cell>
          <cell r="E1975">
            <v>3849.28</v>
          </cell>
          <cell r="F1975">
            <v>3849.28</v>
          </cell>
        </row>
        <row r="1976">
          <cell r="A1976">
            <v>44925</v>
          </cell>
          <cell r="B1976">
            <v>3829.06</v>
          </cell>
          <cell r="C1976">
            <v>3839.85</v>
          </cell>
          <cell r="D1976">
            <v>3800.34</v>
          </cell>
          <cell r="E1976">
            <v>3839.5</v>
          </cell>
          <cell r="F1976">
            <v>3839.5</v>
          </cell>
        </row>
        <row r="1977">
          <cell r="A1977">
            <v>44929</v>
          </cell>
          <cell r="B1977">
            <v>3853.29</v>
          </cell>
          <cell r="C1977">
            <v>3878.46</v>
          </cell>
          <cell r="D1977">
            <v>3794.33</v>
          </cell>
          <cell r="E1977">
            <v>3824.14</v>
          </cell>
          <cell r="F1977">
            <v>3824.14</v>
          </cell>
        </row>
        <row r="1978">
          <cell r="A1978">
            <v>44930</v>
          </cell>
          <cell r="B1978">
            <v>3840.36</v>
          </cell>
          <cell r="C1978">
            <v>3873.16</v>
          </cell>
          <cell r="D1978">
            <v>3815.77</v>
          </cell>
          <cell r="E1978">
            <v>3852.97</v>
          </cell>
          <cell r="F1978">
            <v>3852.97</v>
          </cell>
        </row>
        <row r="1979">
          <cell r="A1979">
            <v>44931</v>
          </cell>
          <cell r="B1979">
            <v>3839.74</v>
          </cell>
          <cell r="C1979">
            <v>3839.74</v>
          </cell>
          <cell r="D1979">
            <v>3802.42</v>
          </cell>
          <cell r="E1979">
            <v>3808.1</v>
          </cell>
          <cell r="F1979">
            <v>3808.1</v>
          </cell>
        </row>
        <row r="1980">
          <cell r="A1980">
            <v>44932</v>
          </cell>
          <cell r="B1980">
            <v>3823.37</v>
          </cell>
          <cell r="C1980">
            <v>3906.19</v>
          </cell>
          <cell r="D1980">
            <v>3809.56</v>
          </cell>
          <cell r="E1980">
            <v>3895.08</v>
          </cell>
          <cell r="F1980">
            <v>3895.08</v>
          </cell>
        </row>
        <row r="1981">
          <cell r="A1981">
            <v>44935</v>
          </cell>
          <cell r="B1981">
            <v>3910.82</v>
          </cell>
          <cell r="C1981">
            <v>3950.57</v>
          </cell>
          <cell r="D1981">
            <v>3890.42</v>
          </cell>
          <cell r="E1981">
            <v>3892.09</v>
          </cell>
          <cell r="F1981">
            <v>3892.09</v>
          </cell>
        </row>
        <row r="1982">
          <cell r="A1982">
            <v>44936</v>
          </cell>
          <cell r="B1982">
            <v>3888.57</v>
          </cell>
          <cell r="C1982">
            <v>3919.83</v>
          </cell>
          <cell r="D1982">
            <v>3877.29</v>
          </cell>
          <cell r="E1982">
            <v>3919.25</v>
          </cell>
          <cell r="F1982">
            <v>3919.25</v>
          </cell>
        </row>
        <row r="1983">
          <cell r="A1983">
            <v>44937</v>
          </cell>
          <cell r="B1983">
            <v>3932.35</v>
          </cell>
          <cell r="C1983">
            <v>3970.07</v>
          </cell>
          <cell r="D1983">
            <v>3928.54</v>
          </cell>
          <cell r="E1983">
            <v>3969.61</v>
          </cell>
          <cell r="F1983">
            <v>3969.61</v>
          </cell>
        </row>
        <row r="1984">
          <cell r="A1984">
            <v>44938</v>
          </cell>
          <cell r="B1984">
            <v>3977.57</v>
          </cell>
          <cell r="C1984">
            <v>3997.76</v>
          </cell>
          <cell r="D1984">
            <v>3937.56</v>
          </cell>
          <cell r="E1984">
            <v>3983.17</v>
          </cell>
          <cell r="F1984">
            <v>3983.17</v>
          </cell>
        </row>
        <row r="1985">
          <cell r="A1985">
            <v>44939</v>
          </cell>
          <cell r="B1985">
            <v>3960.6</v>
          </cell>
          <cell r="C1985">
            <v>4003.95</v>
          </cell>
          <cell r="D1985">
            <v>3947.67</v>
          </cell>
          <cell r="E1985">
            <v>3999.09</v>
          </cell>
          <cell r="F1985">
            <v>3999.09</v>
          </cell>
        </row>
        <row r="1986">
          <cell r="A1986">
            <v>44943</v>
          </cell>
          <cell r="B1986">
            <v>3999.28</v>
          </cell>
          <cell r="C1986">
            <v>4015.39</v>
          </cell>
          <cell r="D1986">
            <v>3984.57</v>
          </cell>
          <cell r="E1986">
            <v>3990.97</v>
          </cell>
          <cell r="F1986">
            <v>3990.97</v>
          </cell>
        </row>
        <row r="1987">
          <cell r="A1987">
            <v>44944</v>
          </cell>
          <cell r="B1987">
            <v>4002.25</v>
          </cell>
          <cell r="C1987">
            <v>4014.16</v>
          </cell>
          <cell r="D1987">
            <v>3926.59</v>
          </cell>
          <cell r="E1987">
            <v>3928.86</v>
          </cell>
          <cell r="F1987">
            <v>3928.86</v>
          </cell>
        </row>
        <row r="1988">
          <cell r="A1988">
            <v>44945</v>
          </cell>
          <cell r="B1988">
            <v>3911.84</v>
          </cell>
          <cell r="C1988">
            <v>3922.94</v>
          </cell>
          <cell r="D1988">
            <v>3885.54</v>
          </cell>
          <cell r="E1988">
            <v>3898.85</v>
          </cell>
          <cell r="F1988">
            <v>3898.85</v>
          </cell>
        </row>
        <row r="1989">
          <cell r="A1989">
            <v>44946</v>
          </cell>
          <cell r="B1989">
            <v>3909.04</v>
          </cell>
          <cell r="C1989">
            <v>3972.96</v>
          </cell>
          <cell r="D1989">
            <v>3897.86</v>
          </cell>
          <cell r="E1989">
            <v>3972.61</v>
          </cell>
          <cell r="F1989">
            <v>3972.61</v>
          </cell>
        </row>
        <row r="1990">
          <cell r="A1990">
            <v>44949</v>
          </cell>
          <cell r="B1990">
            <v>3978.14</v>
          </cell>
          <cell r="C1990">
            <v>4039.31</v>
          </cell>
          <cell r="D1990">
            <v>3971.64</v>
          </cell>
          <cell r="E1990">
            <v>4019.81</v>
          </cell>
          <cell r="F1990">
            <v>4019.81</v>
          </cell>
        </row>
        <row r="1991">
          <cell r="A1991">
            <v>44950</v>
          </cell>
          <cell r="B1991">
            <v>4001.74</v>
          </cell>
          <cell r="C1991">
            <v>4023.92</v>
          </cell>
          <cell r="D1991">
            <v>3989.79</v>
          </cell>
          <cell r="E1991">
            <v>4016.95</v>
          </cell>
          <cell r="F1991">
            <v>4016.95</v>
          </cell>
        </row>
        <row r="1992">
          <cell r="A1992">
            <v>44951</v>
          </cell>
          <cell r="B1992">
            <v>3982.71</v>
          </cell>
          <cell r="C1992">
            <v>4019.55</v>
          </cell>
          <cell r="D1992">
            <v>3949.06</v>
          </cell>
          <cell r="E1992">
            <v>4016.22</v>
          </cell>
          <cell r="F1992">
            <v>4016.22</v>
          </cell>
        </row>
        <row r="1993">
          <cell r="A1993">
            <v>44952</v>
          </cell>
          <cell r="B1993">
            <v>4036.08</v>
          </cell>
          <cell r="C1993">
            <v>4061.57</v>
          </cell>
          <cell r="D1993">
            <v>4013.29</v>
          </cell>
          <cell r="E1993">
            <v>4060.43</v>
          </cell>
          <cell r="F1993">
            <v>4060.43</v>
          </cell>
        </row>
        <row r="1994">
          <cell r="A1994">
            <v>44953</v>
          </cell>
          <cell r="B1994">
            <v>4053.72</v>
          </cell>
          <cell r="C1994">
            <v>4094.21</v>
          </cell>
          <cell r="D1994">
            <v>4048.7</v>
          </cell>
          <cell r="E1994">
            <v>4070.56</v>
          </cell>
          <cell r="F1994">
            <v>4070.56</v>
          </cell>
        </row>
        <row r="1995">
          <cell r="A1995">
            <v>44956</v>
          </cell>
          <cell r="B1995">
            <v>4049.27</v>
          </cell>
          <cell r="C1995">
            <v>4063.85</v>
          </cell>
          <cell r="D1995">
            <v>4015.55</v>
          </cell>
          <cell r="E1995">
            <v>4017.77</v>
          </cell>
          <cell r="F1995">
            <v>4017.77</v>
          </cell>
        </row>
        <row r="1996">
          <cell r="A1996">
            <v>44957</v>
          </cell>
          <cell r="B1996">
            <v>4020.85</v>
          </cell>
          <cell r="C1996">
            <v>4077.16</v>
          </cell>
          <cell r="D1996">
            <v>4020.44</v>
          </cell>
          <cell r="E1996">
            <v>4076.6</v>
          </cell>
          <cell r="F1996">
            <v>4076.6</v>
          </cell>
        </row>
        <row r="1997">
          <cell r="A1997">
            <v>44958</v>
          </cell>
          <cell r="B1997">
            <v>4070.07</v>
          </cell>
          <cell r="C1997">
            <v>4148.95</v>
          </cell>
          <cell r="D1997">
            <v>4037.2</v>
          </cell>
          <cell r="E1997">
            <v>4119.21</v>
          </cell>
          <cell r="F1997">
            <v>4119.21</v>
          </cell>
        </row>
        <row r="1998">
          <cell r="A1998">
            <v>44959</v>
          </cell>
          <cell r="B1998">
            <v>4158.68</v>
          </cell>
          <cell r="C1998">
            <v>4195.4399999999996</v>
          </cell>
          <cell r="D1998">
            <v>4141.88</v>
          </cell>
          <cell r="E1998">
            <v>4179.76</v>
          </cell>
          <cell r="F1998">
            <v>4179.76</v>
          </cell>
        </row>
        <row r="1999">
          <cell r="A1999">
            <v>44960</v>
          </cell>
          <cell r="B1999">
            <v>4136.6899999999996</v>
          </cell>
          <cell r="C1999">
            <v>4182.3599999999997</v>
          </cell>
          <cell r="D1999">
            <v>4123.3599999999997</v>
          </cell>
          <cell r="E1999">
            <v>4136.4799999999996</v>
          </cell>
          <cell r="F1999">
            <v>4136.4799999999996</v>
          </cell>
        </row>
        <row r="2000">
          <cell r="A2000">
            <v>44963</v>
          </cell>
          <cell r="B2000">
            <v>4119.57</v>
          </cell>
          <cell r="C2000">
            <v>4124.63</v>
          </cell>
          <cell r="D2000">
            <v>4093.38</v>
          </cell>
          <cell r="E2000">
            <v>4111.08</v>
          </cell>
          <cell r="F2000">
            <v>4111.08</v>
          </cell>
        </row>
        <row r="2001">
          <cell r="A2001">
            <v>44964</v>
          </cell>
          <cell r="B2001">
            <v>4105.3500000000004</v>
          </cell>
          <cell r="C2001">
            <v>4176.54</v>
          </cell>
          <cell r="D2001">
            <v>4088.39</v>
          </cell>
          <cell r="E2001">
            <v>4164</v>
          </cell>
          <cell r="F2001">
            <v>4164</v>
          </cell>
        </row>
        <row r="2002">
          <cell r="A2002">
            <v>44965</v>
          </cell>
          <cell r="B2002">
            <v>4153.47</v>
          </cell>
          <cell r="C2002">
            <v>4156.8500000000004</v>
          </cell>
          <cell r="D2002">
            <v>4111.67</v>
          </cell>
          <cell r="E2002">
            <v>4117.8599999999997</v>
          </cell>
          <cell r="F2002">
            <v>4117.8599999999997</v>
          </cell>
        </row>
        <row r="2003">
          <cell r="A2003">
            <v>44966</v>
          </cell>
          <cell r="B2003">
            <v>4144.25</v>
          </cell>
          <cell r="C2003">
            <v>4156.2299999999996</v>
          </cell>
          <cell r="D2003">
            <v>4069.67</v>
          </cell>
          <cell r="E2003">
            <v>4081.5</v>
          </cell>
          <cell r="F2003">
            <v>4081.5</v>
          </cell>
        </row>
        <row r="2004">
          <cell r="A2004">
            <v>44967</v>
          </cell>
          <cell r="B2004">
            <v>4068.92</v>
          </cell>
          <cell r="C2004">
            <v>4094.36</v>
          </cell>
          <cell r="D2004">
            <v>4060.79</v>
          </cell>
          <cell r="E2004">
            <v>4090.46</v>
          </cell>
          <cell r="F2004">
            <v>4090.46</v>
          </cell>
        </row>
        <row r="2005">
          <cell r="A2005">
            <v>44970</v>
          </cell>
          <cell r="B2005">
            <v>4096.62</v>
          </cell>
          <cell r="C2005">
            <v>4138.8999999999996</v>
          </cell>
          <cell r="D2005">
            <v>4092.67</v>
          </cell>
          <cell r="E2005">
            <v>4137.29</v>
          </cell>
          <cell r="F2005">
            <v>4137.29</v>
          </cell>
        </row>
        <row r="2006">
          <cell r="A2006">
            <v>44971</v>
          </cell>
          <cell r="B2006">
            <v>4126.7</v>
          </cell>
          <cell r="C2006">
            <v>4159.7700000000004</v>
          </cell>
          <cell r="D2006">
            <v>4095.01</v>
          </cell>
          <cell r="E2006">
            <v>4136.13</v>
          </cell>
          <cell r="F2006">
            <v>4136.13</v>
          </cell>
        </row>
        <row r="2007">
          <cell r="A2007">
            <v>44972</v>
          </cell>
          <cell r="B2007">
            <v>4119.5</v>
          </cell>
          <cell r="C2007">
            <v>4148.1099999999997</v>
          </cell>
          <cell r="D2007">
            <v>4103.9799999999996</v>
          </cell>
          <cell r="E2007">
            <v>4147.6000000000004</v>
          </cell>
          <cell r="F2007">
            <v>4147.6000000000004</v>
          </cell>
        </row>
        <row r="2008">
          <cell r="A2008">
            <v>44973</v>
          </cell>
          <cell r="B2008">
            <v>4114.75</v>
          </cell>
          <cell r="C2008">
            <v>4136.54</v>
          </cell>
          <cell r="D2008">
            <v>4089.49</v>
          </cell>
          <cell r="E2008">
            <v>4090.41</v>
          </cell>
          <cell r="F2008">
            <v>4090.41</v>
          </cell>
        </row>
        <row r="2009">
          <cell r="A2009">
            <v>44974</v>
          </cell>
          <cell r="B2009">
            <v>4077.39</v>
          </cell>
          <cell r="C2009">
            <v>4081.51</v>
          </cell>
          <cell r="D2009">
            <v>4047.95</v>
          </cell>
          <cell r="E2009">
            <v>4079.09</v>
          </cell>
          <cell r="F2009">
            <v>4079.09</v>
          </cell>
        </row>
        <row r="2010">
          <cell r="A2010">
            <v>44978</v>
          </cell>
          <cell r="B2010">
            <v>4052.35</v>
          </cell>
          <cell r="C2010">
            <v>4052.35</v>
          </cell>
          <cell r="D2010">
            <v>3995.19</v>
          </cell>
          <cell r="E2010">
            <v>3997.34</v>
          </cell>
          <cell r="F2010">
            <v>3997.34</v>
          </cell>
        </row>
        <row r="2011">
          <cell r="A2011">
            <v>44979</v>
          </cell>
          <cell r="B2011">
            <v>4001.83</v>
          </cell>
          <cell r="C2011">
            <v>4017.37</v>
          </cell>
          <cell r="D2011">
            <v>3976.9</v>
          </cell>
          <cell r="E2011">
            <v>3991.05</v>
          </cell>
          <cell r="F2011">
            <v>3991.05</v>
          </cell>
        </row>
        <row r="2012">
          <cell r="A2012">
            <v>44980</v>
          </cell>
          <cell r="B2012">
            <v>4018.6</v>
          </cell>
          <cell r="C2012">
            <v>4028.3</v>
          </cell>
          <cell r="D2012">
            <v>3969.19</v>
          </cell>
          <cell r="E2012">
            <v>4012.32</v>
          </cell>
          <cell r="F2012">
            <v>4012.32</v>
          </cell>
        </row>
        <row r="2013">
          <cell r="A2013">
            <v>44981</v>
          </cell>
          <cell r="B2013">
            <v>3973.24</v>
          </cell>
          <cell r="C2013">
            <v>3978.25</v>
          </cell>
          <cell r="D2013">
            <v>3943.08</v>
          </cell>
          <cell r="E2013">
            <v>3970.04</v>
          </cell>
          <cell r="F2013">
            <v>3970.04</v>
          </cell>
        </row>
        <row r="2014">
          <cell r="A2014">
            <v>44984</v>
          </cell>
          <cell r="B2014">
            <v>3992.36</v>
          </cell>
          <cell r="C2014">
            <v>4018.05</v>
          </cell>
          <cell r="D2014">
            <v>3973.55</v>
          </cell>
          <cell r="E2014">
            <v>3982.24</v>
          </cell>
          <cell r="F2014">
            <v>3982.24</v>
          </cell>
        </row>
        <row r="2015">
          <cell r="A2015">
            <v>44985</v>
          </cell>
          <cell r="B2015">
            <v>3977.19</v>
          </cell>
          <cell r="C2015">
            <v>3997.5</v>
          </cell>
          <cell r="D2015">
            <v>3968.98</v>
          </cell>
          <cell r="E2015">
            <v>3970.15</v>
          </cell>
          <cell r="F2015">
            <v>3970.15</v>
          </cell>
        </row>
        <row r="2016">
          <cell r="A2016">
            <v>44986</v>
          </cell>
          <cell r="B2016">
            <v>3963.34</v>
          </cell>
          <cell r="C2016">
            <v>3971.73</v>
          </cell>
          <cell r="D2016">
            <v>3939.05</v>
          </cell>
          <cell r="E2016">
            <v>3951.39</v>
          </cell>
          <cell r="F2016">
            <v>3951.39</v>
          </cell>
        </row>
        <row r="2017">
          <cell r="A2017">
            <v>44987</v>
          </cell>
          <cell r="B2017">
            <v>3938.68</v>
          </cell>
          <cell r="C2017">
            <v>3990.84</v>
          </cell>
          <cell r="D2017">
            <v>3928.16</v>
          </cell>
          <cell r="E2017">
            <v>3981.35</v>
          </cell>
          <cell r="F2017">
            <v>3981.35</v>
          </cell>
        </row>
        <row r="2018">
          <cell r="A2018">
            <v>44988</v>
          </cell>
          <cell r="B2018">
            <v>3998.02</v>
          </cell>
          <cell r="C2018">
            <v>4048.29</v>
          </cell>
          <cell r="D2018">
            <v>3995.17</v>
          </cell>
          <cell r="E2018">
            <v>4045.64</v>
          </cell>
          <cell r="F2018">
            <v>4045.64</v>
          </cell>
        </row>
        <row r="2019">
          <cell r="A2019">
            <v>44991</v>
          </cell>
          <cell r="B2019">
            <v>4055.15</v>
          </cell>
          <cell r="C2019">
            <v>4078.49</v>
          </cell>
          <cell r="D2019">
            <v>4044.61</v>
          </cell>
          <cell r="E2019">
            <v>4048.42</v>
          </cell>
          <cell r="F2019">
            <v>4048.42</v>
          </cell>
        </row>
        <row r="2020">
          <cell r="A2020">
            <v>44992</v>
          </cell>
          <cell r="B2020">
            <v>4048.26</v>
          </cell>
          <cell r="C2020">
            <v>4050</v>
          </cell>
          <cell r="D2020">
            <v>3980.31</v>
          </cell>
          <cell r="E2020">
            <v>3986.37</v>
          </cell>
          <cell r="F2020">
            <v>3986.37</v>
          </cell>
        </row>
        <row r="2021">
          <cell r="A2021">
            <v>44993</v>
          </cell>
          <cell r="B2021">
            <v>3987.55</v>
          </cell>
          <cell r="C2021">
            <v>4000.41</v>
          </cell>
          <cell r="D2021">
            <v>3969.76</v>
          </cell>
          <cell r="E2021">
            <v>3992.01</v>
          </cell>
          <cell r="F2021">
            <v>3992.01</v>
          </cell>
        </row>
        <row r="2022">
          <cell r="A2022">
            <v>44994</v>
          </cell>
          <cell r="B2022">
            <v>3998.66</v>
          </cell>
          <cell r="C2022">
            <v>4017.81</v>
          </cell>
          <cell r="D2022">
            <v>3908.7</v>
          </cell>
          <cell r="E2022">
            <v>3918.32</v>
          </cell>
          <cell r="F2022">
            <v>3918.32</v>
          </cell>
        </row>
        <row r="2023">
          <cell r="A2023">
            <v>44995</v>
          </cell>
          <cell r="B2023">
            <v>3912.77</v>
          </cell>
          <cell r="C2023">
            <v>3934.05</v>
          </cell>
          <cell r="D2023">
            <v>3846.32</v>
          </cell>
          <cell r="E2023">
            <v>3861.59</v>
          </cell>
          <cell r="F2023">
            <v>3861.59</v>
          </cell>
        </row>
        <row r="2024">
          <cell r="A2024">
            <v>44998</v>
          </cell>
          <cell r="B2024">
            <v>3835.12</v>
          </cell>
          <cell r="C2024">
            <v>3905.05</v>
          </cell>
          <cell r="D2024">
            <v>3808.86</v>
          </cell>
          <cell r="E2024">
            <v>3855.76</v>
          </cell>
          <cell r="F2024">
            <v>3855.76</v>
          </cell>
        </row>
        <row r="2025">
          <cell r="A2025">
            <v>44999</v>
          </cell>
          <cell r="B2025">
            <v>3894.01</v>
          </cell>
          <cell r="C2025">
            <v>3937.29</v>
          </cell>
          <cell r="D2025">
            <v>3873.63</v>
          </cell>
          <cell r="E2025">
            <v>3919.29</v>
          </cell>
          <cell r="F2025">
            <v>3919.29</v>
          </cell>
        </row>
        <row r="2026">
          <cell r="A2026">
            <v>45000</v>
          </cell>
          <cell r="B2026">
            <v>3876.74</v>
          </cell>
          <cell r="C2026">
            <v>3894.26</v>
          </cell>
          <cell r="D2026">
            <v>3838.24</v>
          </cell>
          <cell r="E2026">
            <v>3891.93</v>
          </cell>
          <cell r="F2026">
            <v>3891.93</v>
          </cell>
        </row>
        <row r="2027">
          <cell r="A2027">
            <v>45001</v>
          </cell>
          <cell r="B2027">
            <v>3878.93</v>
          </cell>
          <cell r="C2027">
            <v>3964.46</v>
          </cell>
          <cell r="D2027">
            <v>3864.11</v>
          </cell>
          <cell r="E2027">
            <v>3960.28</v>
          </cell>
          <cell r="F2027">
            <v>3960.28</v>
          </cell>
        </row>
        <row r="2028">
          <cell r="A2028">
            <v>45002</v>
          </cell>
          <cell r="B2028">
            <v>3958.69</v>
          </cell>
          <cell r="C2028">
            <v>3958.91</v>
          </cell>
          <cell r="D2028">
            <v>3901.27</v>
          </cell>
          <cell r="E2028">
            <v>3916.64</v>
          </cell>
          <cell r="F2028">
            <v>3916.64</v>
          </cell>
        </row>
        <row r="2029">
          <cell r="A2029">
            <v>45005</v>
          </cell>
          <cell r="B2029">
            <v>3917.47</v>
          </cell>
          <cell r="C2029">
            <v>3956.62</v>
          </cell>
          <cell r="D2029">
            <v>3916.89</v>
          </cell>
          <cell r="E2029">
            <v>3951.57</v>
          </cell>
          <cell r="F2029">
            <v>3951.57</v>
          </cell>
        </row>
        <row r="2030">
          <cell r="A2030">
            <v>45006</v>
          </cell>
          <cell r="B2030">
            <v>3975.89</v>
          </cell>
          <cell r="C2030">
            <v>4009.08</v>
          </cell>
          <cell r="D2030">
            <v>3971.19</v>
          </cell>
          <cell r="E2030">
            <v>4002.87</v>
          </cell>
          <cell r="F2030">
            <v>4002.87</v>
          </cell>
        </row>
        <row r="2031">
          <cell r="A2031">
            <v>45007</v>
          </cell>
          <cell r="B2031">
            <v>4002.04</v>
          </cell>
          <cell r="C2031">
            <v>4039.49</v>
          </cell>
          <cell r="D2031">
            <v>3936.17</v>
          </cell>
          <cell r="E2031">
            <v>3936.97</v>
          </cell>
          <cell r="F2031">
            <v>3936.97</v>
          </cell>
        </row>
        <row r="2032">
          <cell r="A2032">
            <v>45008</v>
          </cell>
          <cell r="B2032">
            <v>3959.21</v>
          </cell>
          <cell r="C2032">
            <v>4007.66</v>
          </cell>
          <cell r="D2032">
            <v>3919.05</v>
          </cell>
          <cell r="E2032">
            <v>3948.72</v>
          </cell>
          <cell r="F2032">
            <v>3948.72</v>
          </cell>
        </row>
        <row r="2033">
          <cell r="A2033">
            <v>45009</v>
          </cell>
          <cell r="B2033">
            <v>3939.21</v>
          </cell>
          <cell r="C2033">
            <v>3972.74</v>
          </cell>
          <cell r="D2033">
            <v>3909.16</v>
          </cell>
          <cell r="E2033">
            <v>3970.99</v>
          </cell>
          <cell r="F2033">
            <v>3970.99</v>
          </cell>
        </row>
        <row r="2034">
          <cell r="A2034">
            <v>45012</v>
          </cell>
          <cell r="B2034">
            <v>3982.93</v>
          </cell>
          <cell r="C2034">
            <v>4003.83</v>
          </cell>
          <cell r="D2034">
            <v>3970.49</v>
          </cell>
          <cell r="E2034">
            <v>3977.53</v>
          </cell>
          <cell r="F2034">
            <v>3977.53</v>
          </cell>
        </row>
        <row r="2035">
          <cell r="A2035">
            <v>45013</v>
          </cell>
          <cell r="B2035">
            <v>3974.13</v>
          </cell>
          <cell r="C2035">
            <v>3979.2</v>
          </cell>
          <cell r="D2035">
            <v>3951.53</v>
          </cell>
          <cell r="E2035">
            <v>3971.27</v>
          </cell>
          <cell r="F2035">
            <v>3971.27</v>
          </cell>
        </row>
        <row r="2036">
          <cell r="A2036">
            <v>45014</v>
          </cell>
          <cell r="B2036">
            <v>3999.53</v>
          </cell>
          <cell r="C2036">
            <v>4030.59</v>
          </cell>
          <cell r="D2036">
            <v>3999.53</v>
          </cell>
          <cell r="E2036">
            <v>4027.81</v>
          </cell>
          <cell r="F2036">
            <v>4027.81</v>
          </cell>
        </row>
        <row r="2037">
          <cell r="A2037">
            <v>45015</v>
          </cell>
          <cell r="B2037">
            <v>4046.74</v>
          </cell>
          <cell r="C2037">
            <v>4057.85</v>
          </cell>
          <cell r="D2037">
            <v>4032.1</v>
          </cell>
          <cell r="E2037">
            <v>4050.83</v>
          </cell>
          <cell r="F2037">
            <v>4050.83</v>
          </cell>
        </row>
        <row r="2038">
          <cell r="A2038">
            <v>45016</v>
          </cell>
          <cell r="B2038">
            <v>4056.18</v>
          </cell>
          <cell r="C2038">
            <v>4110.75</v>
          </cell>
          <cell r="D2038">
            <v>4056.18</v>
          </cell>
          <cell r="E2038">
            <v>4109.3100000000004</v>
          </cell>
          <cell r="F2038">
            <v>4109.3100000000004</v>
          </cell>
        </row>
        <row r="2039">
          <cell r="A2039">
            <v>45019</v>
          </cell>
          <cell r="B2039">
            <v>4102.2</v>
          </cell>
          <cell r="C2039">
            <v>4127.66</v>
          </cell>
          <cell r="D2039">
            <v>4098.79</v>
          </cell>
          <cell r="E2039">
            <v>4124.51</v>
          </cell>
          <cell r="F2039">
            <v>4124.51</v>
          </cell>
        </row>
        <row r="2040">
          <cell r="A2040">
            <v>45020</v>
          </cell>
          <cell r="B2040">
            <v>4128.03</v>
          </cell>
          <cell r="C2040">
            <v>4133.13</v>
          </cell>
          <cell r="D2040">
            <v>4086.87</v>
          </cell>
          <cell r="E2040">
            <v>4100.6000000000004</v>
          </cell>
          <cell r="F2040">
            <v>4100.6000000000004</v>
          </cell>
        </row>
        <row r="2041">
          <cell r="A2041">
            <v>45021</v>
          </cell>
          <cell r="B2041">
            <v>4094.5</v>
          </cell>
          <cell r="C2041">
            <v>4099.6899999999996</v>
          </cell>
          <cell r="D2041">
            <v>4072.56</v>
          </cell>
          <cell r="E2041">
            <v>4090.38</v>
          </cell>
          <cell r="F2041">
            <v>4090.38</v>
          </cell>
        </row>
        <row r="2042">
          <cell r="A2042">
            <v>45022</v>
          </cell>
          <cell r="B2042">
            <v>4081.15</v>
          </cell>
          <cell r="C2042">
            <v>4107.32</v>
          </cell>
          <cell r="D2042">
            <v>4069.84</v>
          </cell>
          <cell r="E2042">
            <v>4105.0200000000004</v>
          </cell>
          <cell r="F2042">
            <v>4105.0200000000004</v>
          </cell>
        </row>
        <row r="2043">
          <cell r="A2043">
            <v>45026</v>
          </cell>
          <cell r="B2043">
            <v>4085.2</v>
          </cell>
          <cell r="C2043">
            <v>4109.5</v>
          </cell>
          <cell r="D2043">
            <v>4072.55</v>
          </cell>
          <cell r="E2043">
            <v>4109.1099999999997</v>
          </cell>
          <cell r="F2043">
            <v>4109.1099999999997</v>
          </cell>
        </row>
        <row r="2044">
          <cell r="A2044">
            <v>45027</v>
          </cell>
          <cell r="B2044">
            <v>4110.29</v>
          </cell>
          <cell r="C2044">
            <v>4124.26</v>
          </cell>
          <cell r="D2044">
            <v>4102.6099999999997</v>
          </cell>
          <cell r="E2044">
            <v>4108.9399999999996</v>
          </cell>
          <cell r="F2044">
            <v>4108.9399999999996</v>
          </cell>
        </row>
        <row r="2045">
          <cell r="A2045">
            <v>45028</v>
          </cell>
          <cell r="B2045">
            <v>4121.72</v>
          </cell>
          <cell r="C2045">
            <v>4134.37</v>
          </cell>
          <cell r="D2045">
            <v>4086.94</v>
          </cell>
          <cell r="E2045">
            <v>4091.95</v>
          </cell>
          <cell r="F2045">
            <v>4091.95</v>
          </cell>
        </row>
        <row r="2046">
          <cell r="A2046">
            <v>45029</v>
          </cell>
          <cell r="B2046">
            <v>4100.04</v>
          </cell>
          <cell r="C2046">
            <v>4150.26</v>
          </cell>
          <cell r="D2046">
            <v>4099.3999999999996</v>
          </cell>
          <cell r="E2046">
            <v>4146.22</v>
          </cell>
          <cell r="F2046">
            <v>4146.22</v>
          </cell>
        </row>
        <row r="2047">
          <cell r="A2047">
            <v>45030</v>
          </cell>
          <cell r="B2047">
            <v>4140.1099999999997</v>
          </cell>
          <cell r="C2047">
            <v>4163.1899999999996</v>
          </cell>
          <cell r="D2047">
            <v>4113.2</v>
          </cell>
          <cell r="E2047">
            <v>4137.6400000000003</v>
          </cell>
          <cell r="F2047">
            <v>4137.6400000000003</v>
          </cell>
        </row>
        <row r="2048">
          <cell r="A2048">
            <v>45033</v>
          </cell>
          <cell r="B2048">
            <v>4137.17</v>
          </cell>
          <cell r="C2048">
            <v>4151.72</v>
          </cell>
          <cell r="D2048">
            <v>4123.18</v>
          </cell>
          <cell r="E2048">
            <v>4151.32</v>
          </cell>
          <cell r="F2048">
            <v>4151.32</v>
          </cell>
        </row>
        <row r="2049">
          <cell r="A2049">
            <v>45034</v>
          </cell>
          <cell r="B2049">
            <v>4164.26</v>
          </cell>
          <cell r="C2049">
            <v>4169.4799999999996</v>
          </cell>
          <cell r="D2049">
            <v>4140.3599999999997</v>
          </cell>
          <cell r="E2049">
            <v>4154.87</v>
          </cell>
          <cell r="F2049">
            <v>4154.87</v>
          </cell>
        </row>
        <row r="2050">
          <cell r="A2050">
            <v>45035</v>
          </cell>
          <cell r="B2050">
            <v>4139.33</v>
          </cell>
          <cell r="C2050">
            <v>4162.57</v>
          </cell>
          <cell r="D2050">
            <v>4134.49</v>
          </cell>
          <cell r="E2050">
            <v>4154.5200000000004</v>
          </cell>
          <cell r="F2050">
            <v>4154.5200000000004</v>
          </cell>
        </row>
        <row r="2051">
          <cell r="A2051">
            <v>45036</v>
          </cell>
          <cell r="B2051">
            <v>4130.4799999999996</v>
          </cell>
          <cell r="C2051">
            <v>4148.57</v>
          </cell>
          <cell r="D2051">
            <v>4114.57</v>
          </cell>
          <cell r="E2051">
            <v>4129.79</v>
          </cell>
          <cell r="F2051">
            <v>4129.79</v>
          </cell>
        </row>
        <row r="2052">
          <cell r="A2052">
            <v>45037</v>
          </cell>
          <cell r="B2052">
            <v>4132.1400000000003</v>
          </cell>
          <cell r="C2052">
            <v>4138.0200000000004</v>
          </cell>
          <cell r="D2052">
            <v>4113.8599999999997</v>
          </cell>
          <cell r="E2052">
            <v>4133.5200000000004</v>
          </cell>
          <cell r="F2052">
            <v>4133.5200000000004</v>
          </cell>
        </row>
        <row r="2053">
          <cell r="A2053">
            <v>45040</v>
          </cell>
          <cell r="B2053">
            <v>4132.07</v>
          </cell>
          <cell r="C2053">
            <v>4142.41</v>
          </cell>
          <cell r="D2053">
            <v>4117.7700000000004</v>
          </cell>
          <cell r="E2053">
            <v>4137.04</v>
          </cell>
          <cell r="F2053">
            <v>4137.04</v>
          </cell>
        </row>
        <row r="2054">
          <cell r="A2054">
            <v>45041</v>
          </cell>
          <cell r="B2054">
            <v>4126.43</v>
          </cell>
          <cell r="C2054">
            <v>4126.43</v>
          </cell>
          <cell r="D2054">
            <v>4071.38</v>
          </cell>
          <cell r="E2054">
            <v>4071.63</v>
          </cell>
          <cell r="F2054">
            <v>4071.63</v>
          </cell>
        </row>
        <row r="2055">
          <cell r="A2055">
            <v>45042</v>
          </cell>
          <cell r="B2055">
            <v>4087.78</v>
          </cell>
          <cell r="C2055">
            <v>4089.67</v>
          </cell>
          <cell r="D2055">
            <v>4049.35</v>
          </cell>
          <cell r="E2055">
            <v>4055.99</v>
          </cell>
          <cell r="F2055">
            <v>4055.99</v>
          </cell>
        </row>
        <row r="2056">
          <cell r="A2056">
            <v>45043</v>
          </cell>
          <cell r="B2056">
            <v>4075.29</v>
          </cell>
          <cell r="C2056">
            <v>4138.24</v>
          </cell>
          <cell r="D2056">
            <v>4075.29</v>
          </cell>
          <cell r="E2056">
            <v>4135.3500000000004</v>
          </cell>
          <cell r="F2056">
            <v>4135.3500000000004</v>
          </cell>
        </row>
        <row r="2057">
          <cell r="A2057">
            <v>45044</v>
          </cell>
          <cell r="B2057">
            <v>4129.63</v>
          </cell>
          <cell r="C2057">
            <v>4170.0600000000004</v>
          </cell>
          <cell r="D2057">
            <v>4127.18</v>
          </cell>
          <cell r="E2057">
            <v>4169.4799999999996</v>
          </cell>
          <cell r="F2057">
            <v>4169.4799999999996</v>
          </cell>
        </row>
        <row r="2058">
          <cell r="A2058">
            <v>45047</v>
          </cell>
          <cell r="B2058">
            <v>4166.79</v>
          </cell>
          <cell r="C2058">
            <v>4186.92</v>
          </cell>
          <cell r="D2058">
            <v>4164.12</v>
          </cell>
          <cell r="E2058">
            <v>4167.87</v>
          </cell>
          <cell r="F2058">
            <v>4167.87</v>
          </cell>
        </row>
        <row r="2059">
          <cell r="A2059">
            <v>45048</v>
          </cell>
          <cell r="B2059">
            <v>4164.1000000000004</v>
          </cell>
          <cell r="C2059">
            <v>4164.1000000000004</v>
          </cell>
          <cell r="D2059">
            <v>4089.72</v>
          </cell>
          <cell r="E2059">
            <v>4119.58</v>
          </cell>
          <cell r="F2059">
            <v>4119.58</v>
          </cell>
        </row>
        <row r="2060">
          <cell r="A2060">
            <v>45049</v>
          </cell>
          <cell r="B2060">
            <v>4122.25</v>
          </cell>
          <cell r="C2060">
            <v>4148.3</v>
          </cell>
          <cell r="D2060">
            <v>4088.86</v>
          </cell>
          <cell r="E2060">
            <v>4090.75</v>
          </cell>
          <cell r="F2060">
            <v>4090.75</v>
          </cell>
        </row>
        <row r="2061">
          <cell r="A2061">
            <v>45050</v>
          </cell>
          <cell r="B2061">
            <v>4082.55</v>
          </cell>
          <cell r="C2061">
            <v>4082.61</v>
          </cell>
          <cell r="D2061">
            <v>4048.28</v>
          </cell>
          <cell r="E2061">
            <v>4061.22</v>
          </cell>
          <cell r="F2061">
            <v>4061.22</v>
          </cell>
        </row>
        <row r="2062">
          <cell r="A2062">
            <v>45051</v>
          </cell>
          <cell r="B2062">
            <v>4084.73</v>
          </cell>
          <cell r="C2062">
            <v>4147.0200000000004</v>
          </cell>
          <cell r="D2062">
            <v>4084.73</v>
          </cell>
          <cell r="E2062">
            <v>4136.25</v>
          </cell>
          <cell r="F2062">
            <v>4136.25</v>
          </cell>
        </row>
        <row r="2063">
          <cell r="A2063">
            <v>45054</v>
          </cell>
          <cell r="B2063">
            <v>4136.9799999999996</v>
          </cell>
          <cell r="C2063">
            <v>4142.3</v>
          </cell>
          <cell r="D2063">
            <v>4123.8100000000004</v>
          </cell>
          <cell r="E2063">
            <v>4138.12</v>
          </cell>
          <cell r="F2063">
            <v>4138.12</v>
          </cell>
        </row>
        <row r="2064">
          <cell r="A2064">
            <v>45055</v>
          </cell>
          <cell r="B2064">
            <v>4124.25</v>
          </cell>
          <cell r="C2064">
            <v>4130.3500000000004</v>
          </cell>
          <cell r="D2064">
            <v>4116.6499999999996</v>
          </cell>
          <cell r="E2064">
            <v>4119.17</v>
          </cell>
          <cell r="F2064">
            <v>4119.17</v>
          </cell>
        </row>
        <row r="2065">
          <cell r="A2065">
            <v>45056</v>
          </cell>
          <cell r="B2065">
            <v>4143.74</v>
          </cell>
          <cell r="C2065">
            <v>4154.28</v>
          </cell>
          <cell r="D2065">
            <v>4098.92</v>
          </cell>
          <cell r="E2065">
            <v>4137.6400000000003</v>
          </cell>
          <cell r="F2065">
            <v>4137.6400000000003</v>
          </cell>
        </row>
        <row r="2066">
          <cell r="A2066">
            <v>45057</v>
          </cell>
          <cell r="B2066">
            <v>4132.24</v>
          </cell>
          <cell r="C2066">
            <v>4132.8</v>
          </cell>
          <cell r="D2066">
            <v>4109.29</v>
          </cell>
          <cell r="E2066">
            <v>4130.62</v>
          </cell>
          <cell r="F2066">
            <v>4130.62</v>
          </cell>
        </row>
        <row r="2067">
          <cell r="A2067">
            <v>45058</v>
          </cell>
          <cell r="B2067">
            <v>4138.54</v>
          </cell>
          <cell r="C2067">
            <v>4143.74</v>
          </cell>
          <cell r="D2067">
            <v>4099.12</v>
          </cell>
          <cell r="E2067">
            <v>4124.08</v>
          </cell>
          <cell r="F2067">
            <v>4124.08</v>
          </cell>
        </row>
        <row r="2068">
          <cell r="A2068">
            <v>45061</v>
          </cell>
          <cell r="B2068">
            <v>4126.6499999999996</v>
          </cell>
          <cell r="C2068">
            <v>4141.25</v>
          </cell>
          <cell r="D2068">
            <v>4110.2700000000004</v>
          </cell>
          <cell r="E2068">
            <v>4136.28</v>
          </cell>
          <cell r="F2068">
            <v>4136.28</v>
          </cell>
        </row>
        <row r="2069">
          <cell r="A2069">
            <v>45062</v>
          </cell>
          <cell r="B2069">
            <v>4127.95</v>
          </cell>
          <cell r="C2069">
            <v>4135.54</v>
          </cell>
          <cell r="D2069">
            <v>4109.8599999999997</v>
          </cell>
          <cell r="E2069">
            <v>4109.8999999999996</v>
          </cell>
          <cell r="F2069">
            <v>4109.8999999999996</v>
          </cell>
        </row>
        <row r="2070">
          <cell r="A2070">
            <v>45063</v>
          </cell>
          <cell r="B2070">
            <v>4122.8500000000004</v>
          </cell>
          <cell r="C2070">
            <v>4164.67</v>
          </cell>
          <cell r="D2070">
            <v>4113.62</v>
          </cell>
          <cell r="E2070">
            <v>4158.7700000000004</v>
          </cell>
          <cell r="F2070">
            <v>4158.7700000000004</v>
          </cell>
        </row>
        <row r="2071">
          <cell r="A2071">
            <v>45064</v>
          </cell>
          <cell r="B2071">
            <v>4157.68</v>
          </cell>
          <cell r="C2071">
            <v>4202.2</v>
          </cell>
          <cell r="D2071">
            <v>4153.5</v>
          </cell>
          <cell r="E2071">
            <v>4198.05</v>
          </cell>
          <cell r="F2071">
            <v>4198.05</v>
          </cell>
        </row>
        <row r="2072">
          <cell r="A2072">
            <v>45065</v>
          </cell>
          <cell r="B2072">
            <v>4204.1499999999996</v>
          </cell>
          <cell r="C2072">
            <v>4212.91</v>
          </cell>
          <cell r="D2072">
            <v>4180.2</v>
          </cell>
          <cell r="E2072">
            <v>4191.9799999999996</v>
          </cell>
          <cell r="F2072">
            <v>4191.9799999999996</v>
          </cell>
        </row>
        <row r="2073">
          <cell r="A2073">
            <v>45068</v>
          </cell>
          <cell r="B2073">
            <v>4190.78</v>
          </cell>
          <cell r="C2073">
            <v>4209.22</v>
          </cell>
          <cell r="D2073">
            <v>4179.68</v>
          </cell>
          <cell r="E2073">
            <v>4192.63</v>
          </cell>
          <cell r="F2073">
            <v>4192.63</v>
          </cell>
        </row>
        <row r="2074">
          <cell r="A2074">
            <v>45069</v>
          </cell>
          <cell r="B2074">
            <v>4176.8</v>
          </cell>
          <cell r="C2074">
            <v>4185.68</v>
          </cell>
          <cell r="D2074">
            <v>4142.54</v>
          </cell>
          <cell r="E2074">
            <v>4145.58</v>
          </cell>
          <cell r="F2074">
            <v>4145.58</v>
          </cell>
        </row>
        <row r="2075">
          <cell r="A2075">
            <v>45070</v>
          </cell>
          <cell r="B2075">
            <v>4132.96</v>
          </cell>
          <cell r="C2075">
            <v>4132.96</v>
          </cell>
          <cell r="D2075">
            <v>4103.9799999999996</v>
          </cell>
          <cell r="E2075">
            <v>4115.24</v>
          </cell>
          <cell r="F2075">
            <v>4115.24</v>
          </cell>
        </row>
        <row r="2076">
          <cell r="A2076">
            <v>45071</v>
          </cell>
          <cell r="B2076">
            <v>4155.71</v>
          </cell>
          <cell r="C2076">
            <v>4165.74</v>
          </cell>
          <cell r="D2076">
            <v>4129.7299999999996</v>
          </cell>
          <cell r="E2076">
            <v>4151.28</v>
          </cell>
          <cell r="F2076">
            <v>4151.28</v>
          </cell>
        </row>
        <row r="2077">
          <cell r="A2077">
            <v>45072</v>
          </cell>
          <cell r="B2077">
            <v>4156.16</v>
          </cell>
          <cell r="C2077">
            <v>4212.87</v>
          </cell>
          <cell r="D2077">
            <v>4156.16</v>
          </cell>
          <cell r="E2077">
            <v>4205.45</v>
          </cell>
          <cell r="F2077">
            <v>4205.45</v>
          </cell>
        </row>
        <row r="2078">
          <cell r="A2078">
            <v>45076</v>
          </cell>
          <cell r="B2078">
            <v>4226.71</v>
          </cell>
          <cell r="C2078">
            <v>4231.1000000000004</v>
          </cell>
          <cell r="D2078">
            <v>4192.18</v>
          </cell>
          <cell r="E2078">
            <v>4205.5200000000004</v>
          </cell>
          <cell r="F2078">
            <v>4205.5200000000004</v>
          </cell>
        </row>
        <row r="2079">
          <cell r="A2079">
            <v>45077</v>
          </cell>
          <cell r="B2079">
            <v>4190.74</v>
          </cell>
          <cell r="C2079">
            <v>4195.4399999999996</v>
          </cell>
          <cell r="D2079">
            <v>4166.1499999999996</v>
          </cell>
          <cell r="E2079">
            <v>4179.83</v>
          </cell>
          <cell r="F2079">
            <v>4179.83</v>
          </cell>
        </row>
        <row r="2080">
          <cell r="A2080">
            <v>45078</v>
          </cell>
          <cell r="B2080">
            <v>4183.03</v>
          </cell>
          <cell r="C2080">
            <v>4232.43</v>
          </cell>
          <cell r="D2080">
            <v>4171.6400000000003</v>
          </cell>
          <cell r="E2080">
            <v>4221.0200000000004</v>
          </cell>
          <cell r="F2080">
            <v>4221.0200000000004</v>
          </cell>
        </row>
        <row r="2081">
          <cell r="A2081">
            <v>45079</v>
          </cell>
          <cell r="B2081">
            <v>4241.01</v>
          </cell>
          <cell r="C2081">
            <v>4290.67</v>
          </cell>
          <cell r="D2081">
            <v>4241.01</v>
          </cell>
          <cell r="E2081">
            <v>4282.37</v>
          </cell>
          <cell r="F2081">
            <v>4282.37</v>
          </cell>
        </row>
        <row r="2082">
          <cell r="A2082">
            <v>45082</v>
          </cell>
          <cell r="B2082">
            <v>4282.99</v>
          </cell>
          <cell r="C2082">
            <v>4299.28</v>
          </cell>
          <cell r="D2082">
            <v>4266.82</v>
          </cell>
          <cell r="E2082">
            <v>4273.79</v>
          </cell>
          <cell r="F2082">
            <v>4273.79</v>
          </cell>
        </row>
        <row r="2083">
          <cell r="A2083">
            <v>45083</v>
          </cell>
          <cell r="B2083">
            <v>4271.34</v>
          </cell>
          <cell r="C2083">
            <v>4288.33</v>
          </cell>
          <cell r="D2083">
            <v>4263.09</v>
          </cell>
          <cell r="E2083">
            <v>4283.8500000000004</v>
          </cell>
          <cell r="F2083">
            <v>4283.8500000000004</v>
          </cell>
        </row>
        <row r="2084">
          <cell r="A2084">
            <v>45084</v>
          </cell>
          <cell r="B2084">
            <v>4285.47</v>
          </cell>
          <cell r="C2084">
            <v>4299.1899999999996</v>
          </cell>
          <cell r="D2084">
            <v>4263.96</v>
          </cell>
          <cell r="E2084">
            <v>4267.5200000000004</v>
          </cell>
          <cell r="F2084">
            <v>4267.5200000000004</v>
          </cell>
        </row>
        <row r="2085">
          <cell r="A2085">
            <v>45085</v>
          </cell>
          <cell r="B2085">
            <v>4268.6899999999996</v>
          </cell>
          <cell r="C2085">
            <v>4298.01</v>
          </cell>
          <cell r="D2085">
            <v>4261.07</v>
          </cell>
          <cell r="E2085">
            <v>4293.93</v>
          </cell>
          <cell r="F2085">
            <v>4293.93</v>
          </cell>
        </row>
        <row r="2086">
          <cell r="A2086">
            <v>45086</v>
          </cell>
          <cell r="B2086">
            <v>4304.88</v>
          </cell>
          <cell r="C2086">
            <v>4322.62</v>
          </cell>
          <cell r="D2086">
            <v>4291.7</v>
          </cell>
          <cell r="E2086">
            <v>4298.8599999999997</v>
          </cell>
          <cell r="F2086">
            <v>4298.8599999999997</v>
          </cell>
        </row>
        <row r="2087">
          <cell r="A2087">
            <v>45089</v>
          </cell>
          <cell r="B2087">
            <v>4308.32</v>
          </cell>
          <cell r="C2087">
            <v>4340.13</v>
          </cell>
          <cell r="D2087">
            <v>4304.37</v>
          </cell>
          <cell r="E2087">
            <v>4338.93</v>
          </cell>
          <cell r="F2087">
            <v>4338.93</v>
          </cell>
        </row>
        <row r="2088">
          <cell r="A2088">
            <v>45090</v>
          </cell>
          <cell r="B2088">
            <v>4352.6099999999997</v>
          </cell>
          <cell r="C2088">
            <v>4375.37</v>
          </cell>
          <cell r="D2088">
            <v>4349.3100000000004</v>
          </cell>
          <cell r="E2088">
            <v>4369.01</v>
          </cell>
          <cell r="F2088">
            <v>4369.01</v>
          </cell>
        </row>
        <row r="2089">
          <cell r="A2089">
            <v>45091</v>
          </cell>
          <cell r="B2089">
            <v>4366.29</v>
          </cell>
          <cell r="C2089">
            <v>4391.82</v>
          </cell>
          <cell r="D2089">
            <v>4337.8500000000004</v>
          </cell>
          <cell r="E2089">
            <v>4372.59</v>
          </cell>
          <cell r="F2089">
            <v>4372.59</v>
          </cell>
        </row>
        <row r="2090">
          <cell r="A2090">
            <v>45092</v>
          </cell>
          <cell r="B2090">
            <v>4365.33</v>
          </cell>
          <cell r="C2090">
            <v>4439.2</v>
          </cell>
          <cell r="D2090">
            <v>4362.6000000000004</v>
          </cell>
          <cell r="E2090">
            <v>4425.84</v>
          </cell>
          <cell r="F2090">
            <v>4425.84</v>
          </cell>
        </row>
        <row r="2091">
          <cell r="A2091">
            <v>45093</v>
          </cell>
          <cell r="B2091">
            <v>4440.95</v>
          </cell>
          <cell r="C2091">
            <v>4448.47</v>
          </cell>
          <cell r="D2091">
            <v>4407.4399999999996</v>
          </cell>
          <cell r="E2091">
            <v>4409.59</v>
          </cell>
          <cell r="F2091">
            <v>4409.59</v>
          </cell>
        </row>
        <row r="2092">
          <cell r="A2092">
            <v>45097</v>
          </cell>
          <cell r="B2092">
            <v>4396.1099999999997</v>
          </cell>
          <cell r="C2092">
            <v>4400.1499999999996</v>
          </cell>
          <cell r="D2092">
            <v>4367.1899999999996</v>
          </cell>
          <cell r="E2092">
            <v>4388.71</v>
          </cell>
          <cell r="F2092">
            <v>4388.71</v>
          </cell>
        </row>
        <row r="2093">
          <cell r="A2093">
            <v>45098</v>
          </cell>
          <cell r="B2093">
            <v>4380.01</v>
          </cell>
          <cell r="C2093">
            <v>4386.22</v>
          </cell>
          <cell r="D2093">
            <v>4360.1400000000003</v>
          </cell>
          <cell r="E2093">
            <v>4365.6899999999996</v>
          </cell>
          <cell r="F2093">
            <v>4365.6899999999996</v>
          </cell>
        </row>
        <row r="2094">
          <cell r="A2094">
            <v>45099</v>
          </cell>
          <cell r="B2094">
            <v>4355.3999999999996</v>
          </cell>
          <cell r="C2094">
            <v>4382.25</v>
          </cell>
          <cell r="D2094">
            <v>4351.82</v>
          </cell>
          <cell r="E2094">
            <v>4381.8900000000003</v>
          </cell>
          <cell r="F2094">
            <v>4381.8900000000003</v>
          </cell>
        </row>
        <row r="2095">
          <cell r="A2095">
            <v>45100</v>
          </cell>
          <cell r="B2095">
            <v>4354.17</v>
          </cell>
          <cell r="C2095">
            <v>4366.55</v>
          </cell>
          <cell r="D2095">
            <v>4341.34</v>
          </cell>
          <cell r="E2095">
            <v>4348.33</v>
          </cell>
          <cell r="F2095">
            <v>4348.33</v>
          </cell>
        </row>
        <row r="2096">
          <cell r="A2096">
            <v>45103</v>
          </cell>
          <cell r="B2096">
            <v>4344.84</v>
          </cell>
          <cell r="C2096">
            <v>4362.0600000000004</v>
          </cell>
          <cell r="D2096">
            <v>4328.08</v>
          </cell>
          <cell r="E2096">
            <v>4328.82</v>
          </cell>
          <cell r="F2096">
            <v>4328.82</v>
          </cell>
        </row>
        <row r="2097">
          <cell r="A2097">
            <v>45104</v>
          </cell>
          <cell r="B2097">
            <v>4337.3599999999997</v>
          </cell>
          <cell r="C2097">
            <v>4384.42</v>
          </cell>
          <cell r="D2097">
            <v>4335</v>
          </cell>
          <cell r="E2097">
            <v>4378.41</v>
          </cell>
          <cell r="F2097">
            <v>4378.41</v>
          </cell>
        </row>
        <row r="2098">
          <cell r="A2098">
            <v>45105</v>
          </cell>
          <cell r="B2098">
            <v>4367.4799999999996</v>
          </cell>
          <cell r="C2098">
            <v>4390.3500000000004</v>
          </cell>
          <cell r="D2098">
            <v>4360.22</v>
          </cell>
          <cell r="E2098">
            <v>4376.8599999999997</v>
          </cell>
          <cell r="F2098">
            <v>4376.8599999999997</v>
          </cell>
        </row>
        <row r="2099">
          <cell r="A2099">
            <v>45106</v>
          </cell>
          <cell r="B2099">
            <v>4374.9399999999996</v>
          </cell>
          <cell r="C2099">
            <v>4398.3900000000003</v>
          </cell>
          <cell r="D2099">
            <v>4371.97</v>
          </cell>
          <cell r="E2099">
            <v>4396.4399999999996</v>
          </cell>
          <cell r="F2099">
            <v>4396.4399999999996</v>
          </cell>
        </row>
        <row r="2100">
          <cell r="A2100">
            <v>45107</v>
          </cell>
          <cell r="B2100">
            <v>4422.4399999999996</v>
          </cell>
          <cell r="C2100">
            <v>4458.4799999999996</v>
          </cell>
          <cell r="D2100">
            <v>4422.4399999999996</v>
          </cell>
          <cell r="E2100">
            <v>4450.38</v>
          </cell>
          <cell r="F2100">
            <v>4450.38</v>
          </cell>
        </row>
        <row r="2101">
          <cell r="A2101">
            <v>45110</v>
          </cell>
          <cell r="B2101">
            <v>4450.4799999999996</v>
          </cell>
          <cell r="C2101">
            <v>4456.46</v>
          </cell>
          <cell r="D2101">
            <v>4442.29</v>
          </cell>
          <cell r="E2101">
            <v>4455.59</v>
          </cell>
          <cell r="F2101">
            <v>4455.59</v>
          </cell>
        </row>
        <row r="2102">
          <cell r="A2102">
            <v>45112</v>
          </cell>
          <cell r="B2102">
            <v>4442.04</v>
          </cell>
          <cell r="C2102">
            <v>4454.0600000000004</v>
          </cell>
          <cell r="D2102">
            <v>4436.6099999999997</v>
          </cell>
          <cell r="E2102">
            <v>4446.82</v>
          </cell>
          <cell r="F2102">
            <v>4446.82</v>
          </cell>
        </row>
        <row r="2103">
          <cell r="A2103">
            <v>45113</v>
          </cell>
          <cell r="B2103">
            <v>4422.62</v>
          </cell>
          <cell r="C2103">
            <v>4422.62</v>
          </cell>
          <cell r="D2103">
            <v>4385.05</v>
          </cell>
          <cell r="E2103">
            <v>4411.59</v>
          </cell>
          <cell r="F2103">
            <v>4411.59</v>
          </cell>
        </row>
        <row r="2104">
          <cell r="A2104">
            <v>45114</v>
          </cell>
          <cell r="B2104">
            <v>4404.54</v>
          </cell>
          <cell r="C2104">
            <v>4440.3900000000003</v>
          </cell>
          <cell r="D2104">
            <v>4397.3999999999996</v>
          </cell>
          <cell r="E2104">
            <v>4398.95</v>
          </cell>
          <cell r="F2104">
            <v>4398.95</v>
          </cell>
        </row>
        <row r="2105">
          <cell r="A2105">
            <v>45117</v>
          </cell>
          <cell r="B2105">
            <v>4394.2299999999996</v>
          </cell>
          <cell r="C2105">
            <v>4412.6000000000004</v>
          </cell>
          <cell r="D2105">
            <v>4389.92</v>
          </cell>
          <cell r="E2105">
            <v>4409.53</v>
          </cell>
          <cell r="F2105">
            <v>4409.53</v>
          </cell>
        </row>
        <row r="2106">
          <cell r="A2106">
            <v>45118</v>
          </cell>
          <cell r="B2106">
            <v>4415.55</v>
          </cell>
          <cell r="C2106">
            <v>4443.6400000000003</v>
          </cell>
          <cell r="D2106">
            <v>4408.46</v>
          </cell>
          <cell r="E2106">
            <v>4439.26</v>
          </cell>
          <cell r="F2106">
            <v>4439.26</v>
          </cell>
        </row>
        <row r="2107">
          <cell r="A2107">
            <v>45119</v>
          </cell>
          <cell r="B2107">
            <v>4467.6899999999996</v>
          </cell>
          <cell r="C2107">
            <v>4488.34</v>
          </cell>
          <cell r="D2107">
            <v>4463.2299999999996</v>
          </cell>
          <cell r="E2107">
            <v>4472.16</v>
          </cell>
          <cell r="F2107">
            <v>4472.16</v>
          </cell>
        </row>
        <row r="2108">
          <cell r="A2108">
            <v>45120</v>
          </cell>
          <cell r="B2108">
            <v>4491.5</v>
          </cell>
          <cell r="C2108">
            <v>4517.38</v>
          </cell>
          <cell r="D2108">
            <v>4489.3599999999997</v>
          </cell>
          <cell r="E2108">
            <v>4510.04</v>
          </cell>
          <cell r="F2108">
            <v>4510.04</v>
          </cell>
        </row>
        <row r="2109">
          <cell r="A2109">
            <v>45121</v>
          </cell>
          <cell r="B2109">
            <v>4514.6099999999997</v>
          </cell>
          <cell r="C2109">
            <v>4527.76</v>
          </cell>
          <cell r="D2109">
            <v>4499.5600000000004</v>
          </cell>
          <cell r="E2109">
            <v>4505.42</v>
          </cell>
          <cell r="F2109">
            <v>4505.42</v>
          </cell>
        </row>
        <row r="2110">
          <cell r="A2110">
            <v>45124</v>
          </cell>
          <cell r="B2110">
            <v>4508.8599999999997</v>
          </cell>
          <cell r="C2110">
            <v>4532.8500000000004</v>
          </cell>
          <cell r="D2110">
            <v>4504.8999999999996</v>
          </cell>
          <cell r="E2110">
            <v>4522.79</v>
          </cell>
          <cell r="F2110">
            <v>4522.79</v>
          </cell>
        </row>
        <row r="2111">
          <cell r="A2111">
            <v>45125</v>
          </cell>
          <cell r="B2111">
            <v>4521.78</v>
          </cell>
          <cell r="C2111">
            <v>4562.3</v>
          </cell>
          <cell r="D2111">
            <v>4514.59</v>
          </cell>
          <cell r="E2111">
            <v>4554.9799999999996</v>
          </cell>
          <cell r="F2111">
            <v>4554.9799999999996</v>
          </cell>
        </row>
        <row r="2112">
          <cell r="A2112">
            <v>45126</v>
          </cell>
          <cell r="B2112">
            <v>4563.87</v>
          </cell>
          <cell r="C2112">
            <v>4578.43</v>
          </cell>
          <cell r="D2112">
            <v>4557.4799999999996</v>
          </cell>
          <cell r="E2112">
            <v>4565.72</v>
          </cell>
          <cell r="F2112">
            <v>4565.72</v>
          </cell>
        </row>
        <row r="2113">
          <cell r="A2113">
            <v>45127</v>
          </cell>
          <cell r="B2113">
            <v>4554.38</v>
          </cell>
          <cell r="C2113">
            <v>4564.74</v>
          </cell>
          <cell r="D2113">
            <v>4527.5600000000004</v>
          </cell>
          <cell r="E2113">
            <v>4534.87</v>
          </cell>
          <cell r="F2113">
            <v>4534.87</v>
          </cell>
        </row>
        <row r="2114">
          <cell r="A2114">
            <v>45128</v>
          </cell>
          <cell r="B2114">
            <v>4550.16</v>
          </cell>
          <cell r="C2114">
            <v>4555</v>
          </cell>
          <cell r="D2114">
            <v>4535.79</v>
          </cell>
          <cell r="E2114">
            <v>4536.34</v>
          </cell>
          <cell r="F2114">
            <v>4536.34</v>
          </cell>
        </row>
        <row r="2115">
          <cell r="A2115">
            <v>45131</v>
          </cell>
          <cell r="B2115">
            <v>4543.3900000000003</v>
          </cell>
          <cell r="C2115">
            <v>4563.41</v>
          </cell>
          <cell r="D2115">
            <v>4541.29</v>
          </cell>
          <cell r="E2115">
            <v>4554.6400000000003</v>
          </cell>
          <cell r="F2115">
            <v>4554.6400000000003</v>
          </cell>
        </row>
        <row r="2116">
          <cell r="A2116">
            <v>45132</v>
          </cell>
          <cell r="B2116">
            <v>4555.1899999999996</v>
          </cell>
          <cell r="C2116">
            <v>4580.62</v>
          </cell>
          <cell r="D2116">
            <v>4552.42</v>
          </cell>
          <cell r="E2116">
            <v>4567.46</v>
          </cell>
          <cell r="F2116">
            <v>4567.46</v>
          </cell>
        </row>
        <row r="2117">
          <cell r="A2117">
            <v>45133</v>
          </cell>
          <cell r="B2117">
            <v>4558.96</v>
          </cell>
          <cell r="C2117">
            <v>4582.47</v>
          </cell>
          <cell r="D2117">
            <v>4547.58</v>
          </cell>
          <cell r="E2117">
            <v>4566.75</v>
          </cell>
          <cell r="F2117">
            <v>4566.75</v>
          </cell>
        </row>
        <row r="2118">
          <cell r="A2118">
            <v>45134</v>
          </cell>
          <cell r="B2118">
            <v>4598.26</v>
          </cell>
          <cell r="C2118">
            <v>4607.07</v>
          </cell>
          <cell r="D2118">
            <v>4528.5600000000004</v>
          </cell>
          <cell r="E2118">
            <v>4537.41</v>
          </cell>
          <cell r="F2118">
            <v>4537.41</v>
          </cell>
        </row>
        <row r="2119">
          <cell r="A2119">
            <v>45135</v>
          </cell>
          <cell r="B2119">
            <v>4565.75</v>
          </cell>
          <cell r="C2119">
            <v>4590.16</v>
          </cell>
          <cell r="D2119">
            <v>4564.01</v>
          </cell>
          <cell r="E2119">
            <v>4582.2299999999996</v>
          </cell>
          <cell r="F2119">
            <v>4582.2299999999996</v>
          </cell>
        </row>
        <row r="2120">
          <cell r="A2120">
            <v>45138</v>
          </cell>
          <cell r="B2120">
            <v>4584.82</v>
          </cell>
          <cell r="C2120">
            <v>4594.22</v>
          </cell>
          <cell r="D2120">
            <v>4573.1400000000003</v>
          </cell>
          <cell r="E2120">
            <v>4588.96</v>
          </cell>
          <cell r="F2120">
            <v>4588.96</v>
          </cell>
        </row>
        <row r="2121">
          <cell r="A2121">
            <v>45139</v>
          </cell>
          <cell r="B2121">
            <v>4578.83</v>
          </cell>
          <cell r="C2121">
            <v>4584.62</v>
          </cell>
          <cell r="D2121">
            <v>4567.53</v>
          </cell>
          <cell r="E2121">
            <v>4576.7299999999996</v>
          </cell>
          <cell r="F2121">
            <v>4576.7299999999996</v>
          </cell>
        </row>
        <row r="2122">
          <cell r="A2122">
            <v>45140</v>
          </cell>
          <cell r="B2122">
            <v>4550.93</v>
          </cell>
          <cell r="C2122">
            <v>4550.93</v>
          </cell>
          <cell r="D2122">
            <v>4505.75</v>
          </cell>
          <cell r="E2122">
            <v>4513.3900000000003</v>
          </cell>
          <cell r="F2122">
            <v>4513.3900000000003</v>
          </cell>
        </row>
        <row r="2123">
          <cell r="A2123">
            <v>45141</v>
          </cell>
          <cell r="B2123">
            <v>4494.2700000000004</v>
          </cell>
          <cell r="C2123">
            <v>4519.49</v>
          </cell>
          <cell r="D2123">
            <v>4485.54</v>
          </cell>
          <cell r="E2123">
            <v>4501.8900000000003</v>
          </cell>
          <cell r="F2123">
            <v>4501.8900000000003</v>
          </cell>
        </row>
        <row r="2124">
          <cell r="A2124">
            <v>45142</v>
          </cell>
          <cell r="B2124">
            <v>4513.96</v>
          </cell>
          <cell r="C2124">
            <v>4540.34</v>
          </cell>
          <cell r="D2124">
            <v>4474.55</v>
          </cell>
          <cell r="E2124">
            <v>4478.03</v>
          </cell>
          <cell r="F2124">
            <v>4478.03</v>
          </cell>
        </row>
        <row r="2125">
          <cell r="A2125">
            <v>45145</v>
          </cell>
          <cell r="B2125">
            <v>4491.58</v>
          </cell>
          <cell r="C2125">
            <v>4519.84</v>
          </cell>
          <cell r="D2125">
            <v>4491.1499999999996</v>
          </cell>
          <cell r="E2125">
            <v>4518.4399999999996</v>
          </cell>
          <cell r="F2125">
            <v>4518.4399999999996</v>
          </cell>
        </row>
        <row r="2126">
          <cell r="A2126">
            <v>45146</v>
          </cell>
          <cell r="B2126">
            <v>4498.03</v>
          </cell>
          <cell r="C2126">
            <v>4503.3100000000004</v>
          </cell>
          <cell r="D2126">
            <v>4464.3900000000003</v>
          </cell>
          <cell r="E2126">
            <v>4499.38</v>
          </cell>
          <cell r="F2126">
            <v>4499.38</v>
          </cell>
        </row>
        <row r="2127">
          <cell r="A2127">
            <v>45147</v>
          </cell>
          <cell r="B2127">
            <v>4501.57</v>
          </cell>
          <cell r="C2127">
            <v>4502.4399999999996</v>
          </cell>
          <cell r="D2127">
            <v>4461.33</v>
          </cell>
          <cell r="E2127">
            <v>4467.71</v>
          </cell>
          <cell r="F2127">
            <v>4467.71</v>
          </cell>
        </row>
        <row r="2128">
          <cell r="A2128">
            <v>45148</v>
          </cell>
          <cell r="B2128">
            <v>4487.16</v>
          </cell>
          <cell r="C2128">
            <v>4527.37</v>
          </cell>
          <cell r="D2128">
            <v>4457.92</v>
          </cell>
          <cell r="E2128">
            <v>4468.83</v>
          </cell>
          <cell r="F2128">
            <v>4468.83</v>
          </cell>
        </row>
        <row r="2129">
          <cell r="A2129">
            <v>45149</v>
          </cell>
          <cell r="B2129">
            <v>4450.6899999999996</v>
          </cell>
          <cell r="C2129">
            <v>4476.2299999999996</v>
          </cell>
          <cell r="D2129">
            <v>4443.9799999999996</v>
          </cell>
          <cell r="E2129">
            <v>4464.05</v>
          </cell>
          <cell r="F2129">
            <v>4464.05</v>
          </cell>
        </row>
        <row r="2130">
          <cell r="A2130">
            <v>45152</v>
          </cell>
          <cell r="B2130">
            <v>4458.13</v>
          </cell>
          <cell r="C2130">
            <v>4490.33</v>
          </cell>
          <cell r="D2130">
            <v>4453.4399999999996</v>
          </cell>
          <cell r="E2130">
            <v>4489.72</v>
          </cell>
          <cell r="F2130">
            <v>4489.72</v>
          </cell>
        </row>
        <row r="2131">
          <cell r="A2131">
            <v>45153</v>
          </cell>
          <cell r="B2131">
            <v>4478.87</v>
          </cell>
          <cell r="C2131">
            <v>4478.87</v>
          </cell>
          <cell r="D2131">
            <v>4432.1899999999996</v>
          </cell>
          <cell r="E2131">
            <v>4437.8599999999997</v>
          </cell>
          <cell r="F2131">
            <v>4437.8599999999997</v>
          </cell>
        </row>
        <row r="2132">
          <cell r="A2132">
            <v>45154</v>
          </cell>
          <cell r="B2132">
            <v>4433.79</v>
          </cell>
          <cell r="C2132">
            <v>4449.95</v>
          </cell>
          <cell r="D2132">
            <v>4403.55</v>
          </cell>
          <cell r="E2132">
            <v>4404.33</v>
          </cell>
          <cell r="F2132">
            <v>4404.33</v>
          </cell>
        </row>
        <row r="2133">
          <cell r="A2133">
            <v>45155</v>
          </cell>
          <cell r="B2133">
            <v>4416.32</v>
          </cell>
          <cell r="C2133">
            <v>4421.17</v>
          </cell>
          <cell r="D2133">
            <v>4364.83</v>
          </cell>
          <cell r="E2133">
            <v>4370.3599999999997</v>
          </cell>
          <cell r="F2133">
            <v>4370.3599999999997</v>
          </cell>
        </row>
        <row r="2134">
          <cell r="A2134">
            <v>45156</v>
          </cell>
          <cell r="B2134">
            <v>4344.88</v>
          </cell>
          <cell r="C2134">
            <v>4381.82</v>
          </cell>
          <cell r="D2134">
            <v>4335.3100000000004</v>
          </cell>
          <cell r="E2134">
            <v>4369.71</v>
          </cell>
          <cell r="F2134">
            <v>4369.71</v>
          </cell>
        </row>
        <row r="2135">
          <cell r="A2135">
            <v>45159</v>
          </cell>
          <cell r="B2135">
            <v>4380.28</v>
          </cell>
          <cell r="C2135">
            <v>4407.55</v>
          </cell>
          <cell r="D2135">
            <v>4360.3</v>
          </cell>
          <cell r="E2135">
            <v>4399.7700000000004</v>
          </cell>
          <cell r="F2135">
            <v>4399.7700000000004</v>
          </cell>
        </row>
        <row r="2136">
          <cell r="A2136">
            <v>45160</v>
          </cell>
          <cell r="B2136">
            <v>4415.33</v>
          </cell>
          <cell r="C2136">
            <v>4418.59</v>
          </cell>
          <cell r="D2136">
            <v>4382.7700000000004</v>
          </cell>
          <cell r="E2136">
            <v>4387.55</v>
          </cell>
          <cell r="F2136">
            <v>4387.55</v>
          </cell>
        </row>
        <row r="2137">
          <cell r="A2137">
            <v>45161</v>
          </cell>
          <cell r="B2137">
            <v>4396.4399999999996</v>
          </cell>
          <cell r="C2137">
            <v>4443.18</v>
          </cell>
          <cell r="D2137">
            <v>4396.4399999999996</v>
          </cell>
          <cell r="E2137">
            <v>4436.01</v>
          </cell>
          <cell r="F2137">
            <v>4436.01</v>
          </cell>
        </row>
        <row r="2138">
          <cell r="A2138">
            <v>45162</v>
          </cell>
          <cell r="B2138">
            <v>4455.16</v>
          </cell>
          <cell r="C2138">
            <v>4458.3</v>
          </cell>
          <cell r="D2138">
            <v>4375.55</v>
          </cell>
          <cell r="E2138">
            <v>4376.3100000000004</v>
          </cell>
          <cell r="F2138">
            <v>4376.3100000000004</v>
          </cell>
        </row>
        <row r="2139">
          <cell r="A2139">
            <v>45163</v>
          </cell>
          <cell r="B2139">
            <v>4389.38</v>
          </cell>
          <cell r="C2139">
            <v>4418.46</v>
          </cell>
          <cell r="D2139">
            <v>4356.29</v>
          </cell>
          <cell r="E2139">
            <v>4405.71</v>
          </cell>
          <cell r="F2139">
            <v>4405.71</v>
          </cell>
        </row>
        <row r="2140">
          <cell r="A2140">
            <v>45166</v>
          </cell>
          <cell r="B2140">
            <v>4426.03</v>
          </cell>
          <cell r="C2140">
            <v>4439.5600000000004</v>
          </cell>
          <cell r="D2140">
            <v>4414.9799999999996</v>
          </cell>
          <cell r="E2140">
            <v>4433.3100000000004</v>
          </cell>
          <cell r="F2140">
            <v>4433.3100000000004</v>
          </cell>
        </row>
        <row r="2141">
          <cell r="A2141">
            <v>45167</v>
          </cell>
          <cell r="B2141">
            <v>4432.75</v>
          </cell>
          <cell r="C2141">
            <v>4500.1400000000003</v>
          </cell>
          <cell r="D2141">
            <v>4431.68</v>
          </cell>
          <cell r="E2141">
            <v>4497.63</v>
          </cell>
          <cell r="F2141">
            <v>4497.63</v>
          </cell>
        </row>
        <row r="2142">
          <cell r="A2142">
            <v>45168</v>
          </cell>
          <cell r="B2142">
            <v>4500.34</v>
          </cell>
          <cell r="C2142">
            <v>4521.6499999999996</v>
          </cell>
          <cell r="D2142">
            <v>4493.59</v>
          </cell>
          <cell r="E2142">
            <v>4514.87</v>
          </cell>
          <cell r="F2142">
            <v>4514.87</v>
          </cell>
        </row>
        <row r="2143">
          <cell r="A2143">
            <v>45169</v>
          </cell>
          <cell r="B2143">
            <v>4517.01</v>
          </cell>
          <cell r="C2143">
            <v>4532.26</v>
          </cell>
          <cell r="D2143">
            <v>4507.3900000000003</v>
          </cell>
          <cell r="E2143">
            <v>4507.66</v>
          </cell>
          <cell r="F2143">
            <v>4507.66</v>
          </cell>
        </row>
        <row r="2144">
          <cell r="A2144">
            <v>45170</v>
          </cell>
          <cell r="B2144">
            <v>4530.6000000000004</v>
          </cell>
          <cell r="C2144">
            <v>4541.25</v>
          </cell>
          <cell r="D2144">
            <v>4501.3500000000004</v>
          </cell>
          <cell r="E2144">
            <v>4515.7700000000004</v>
          </cell>
          <cell r="F2144">
            <v>4515.7700000000004</v>
          </cell>
        </row>
        <row r="2145">
          <cell r="A2145">
            <v>45174</v>
          </cell>
          <cell r="B2145">
            <v>4510.0600000000004</v>
          </cell>
          <cell r="C2145">
            <v>4514.29</v>
          </cell>
          <cell r="D2145">
            <v>4496.01</v>
          </cell>
          <cell r="E2145">
            <v>4496.83</v>
          </cell>
          <cell r="F2145">
            <v>4496.83</v>
          </cell>
        </row>
        <row r="2146">
          <cell r="A2146">
            <v>45175</v>
          </cell>
          <cell r="B2146">
            <v>4490.3500000000004</v>
          </cell>
          <cell r="C2146">
            <v>4490.3500000000004</v>
          </cell>
          <cell r="D2146">
            <v>4442.38</v>
          </cell>
          <cell r="E2146">
            <v>4465.4799999999996</v>
          </cell>
          <cell r="F2146">
            <v>4465.4799999999996</v>
          </cell>
        </row>
        <row r="2147">
          <cell r="A2147">
            <v>45176</v>
          </cell>
          <cell r="B2147">
            <v>4434.55</v>
          </cell>
          <cell r="C2147">
            <v>4457.8100000000004</v>
          </cell>
          <cell r="D2147">
            <v>4430.46</v>
          </cell>
          <cell r="E2147">
            <v>4451.1400000000003</v>
          </cell>
          <cell r="F2147">
            <v>4451.1400000000003</v>
          </cell>
        </row>
        <row r="2148">
          <cell r="A2148">
            <v>45177</v>
          </cell>
          <cell r="B2148">
            <v>4451.3</v>
          </cell>
          <cell r="C2148">
            <v>4473.53</v>
          </cell>
          <cell r="D2148">
            <v>4448.38</v>
          </cell>
          <cell r="E2148">
            <v>4457.49</v>
          </cell>
          <cell r="F2148">
            <v>4457.49</v>
          </cell>
        </row>
        <row r="2149">
          <cell r="A2149">
            <v>45180</v>
          </cell>
          <cell r="B2149">
            <v>4480.9799999999996</v>
          </cell>
          <cell r="C2149">
            <v>4490.7700000000004</v>
          </cell>
          <cell r="D2149">
            <v>4467.8900000000003</v>
          </cell>
          <cell r="E2149">
            <v>4487.46</v>
          </cell>
          <cell r="F2149">
            <v>4487.46</v>
          </cell>
        </row>
        <row r="2150">
          <cell r="A2150">
            <v>45181</v>
          </cell>
          <cell r="B2150">
            <v>4473.2700000000004</v>
          </cell>
          <cell r="C2150">
            <v>4487.1099999999997</v>
          </cell>
          <cell r="D2150">
            <v>4456.83</v>
          </cell>
          <cell r="E2150">
            <v>4461.8999999999996</v>
          </cell>
          <cell r="F2150">
            <v>4461.8999999999996</v>
          </cell>
        </row>
        <row r="2151">
          <cell r="A2151">
            <v>45182</v>
          </cell>
          <cell r="B2151">
            <v>4462.6499999999996</v>
          </cell>
          <cell r="C2151">
            <v>4479.3900000000003</v>
          </cell>
          <cell r="D2151">
            <v>4453.5200000000004</v>
          </cell>
          <cell r="E2151">
            <v>4467.4399999999996</v>
          </cell>
          <cell r="F2151">
            <v>4467.4399999999996</v>
          </cell>
        </row>
        <row r="2152">
          <cell r="A2152">
            <v>45183</v>
          </cell>
          <cell r="B2152">
            <v>4487.78</v>
          </cell>
          <cell r="C2152">
            <v>4511.99</v>
          </cell>
          <cell r="D2152">
            <v>4478.6899999999996</v>
          </cell>
          <cell r="E2152">
            <v>4505.1000000000004</v>
          </cell>
          <cell r="F2152">
            <v>4505.1000000000004</v>
          </cell>
        </row>
        <row r="2153">
          <cell r="A2153">
            <v>45184</v>
          </cell>
          <cell r="B2153">
            <v>4497.9799999999996</v>
          </cell>
          <cell r="C2153">
            <v>4497.9799999999996</v>
          </cell>
          <cell r="D2153">
            <v>4447.21</v>
          </cell>
          <cell r="E2153">
            <v>4450.32</v>
          </cell>
          <cell r="F2153">
            <v>4450.32</v>
          </cell>
        </row>
        <row r="2154">
          <cell r="A2154">
            <v>45187</v>
          </cell>
          <cell r="B2154">
            <v>4445.13</v>
          </cell>
          <cell r="C2154">
            <v>4466.3599999999997</v>
          </cell>
          <cell r="D2154">
            <v>4442.1099999999997</v>
          </cell>
          <cell r="E2154">
            <v>4453.53</v>
          </cell>
          <cell r="F2154">
            <v>4453.53</v>
          </cell>
        </row>
        <row r="2155">
          <cell r="A2155">
            <v>45188</v>
          </cell>
          <cell r="B2155">
            <v>4445.41</v>
          </cell>
          <cell r="C2155">
            <v>4449.8500000000004</v>
          </cell>
          <cell r="D2155">
            <v>4416.6099999999997</v>
          </cell>
          <cell r="E2155">
            <v>4443.95</v>
          </cell>
          <cell r="F2155">
            <v>4443.95</v>
          </cell>
        </row>
        <row r="2156">
          <cell r="A2156">
            <v>45189</v>
          </cell>
          <cell r="B2156">
            <v>4452.8100000000004</v>
          </cell>
          <cell r="C2156">
            <v>4461.03</v>
          </cell>
          <cell r="D2156">
            <v>4401.38</v>
          </cell>
          <cell r="E2156">
            <v>4402.2</v>
          </cell>
          <cell r="F2156">
            <v>4402.2</v>
          </cell>
        </row>
        <row r="2157">
          <cell r="A2157">
            <v>45190</v>
          </cell>
          <cell r="B2157">
            <v>4374.3599999999997</v>
          </cell>
          <cell r="C2157">
            <v>4375.7</v>
          </cell>
          <cell r="D2157">
            <v>4329.17</v>
          </cell>
          <cell r="E2157">
            <v>4330</v>
          </cell>
          <cell r="F2157">
            <v>4330</v>
          </cell>
        </row>
        <row r="2158">
          <cell r="A2158">
            <v>45191</v>
          </cell>
          <cell r="B2158">
            <v>4341.74</v>
          </cell>
          <cell r="C2158">
            <v>4357.3999999999996</v>
          </cell>
          <cell r="D2158">
            <v>4316.49</v>
          </cell>
          <cell r="E2158">
            <v>4320.0600000000004</v>
          </cell>
          <cell r="F2158">
            <v>4320.0600000000004</v>
          </cell>
        </row>
        <row r="2159">
          <cell r="A2159">
            <v>45194</v>
          </cell>
          <cell r="B2159">
            <v>4310.62</v>
          </cell>
          <cell r="C2159">
            <v>4338.51</v>
          </cell>
          <cell r="D2159">
            <v>4302.7</v>
          </cell>
          <cell r="E2159">
            <v>4337.4399999999996</v>
          </cell>
          <cell r="F2159">
            <v>4337.4399999999996</v>
          </cell>
        </row>
        <row r="2160">
          <cell r="A2160">
            <v>45195</v>
          </cell>
          <cell r="B2160">
            <v>4312.88</v>
          </cell>
          <cell r="C2160">
            <v>4313.01</v>
          </cell>
          <cell r="D2160">
            <v>4265.9799999999996</v>
          </cell>
          <cell r="E2160">
            <v>4273.53</v>
          </cell>
          <cell r="F2160">
            <v>4273.53</v>
          </cell>
        </row>
        <row r="2161">
          <cell r="A2161">
            <v>45196</v>
          </cell>
          <cell r="B2161">
            <v>4282.63</v>
          </cell>
          <cell r="C2161">
            <v>4292.07</v>
          </cell>
          <cell r="D2161">
            <v>4238.63</v>
          </cell>
          <cell r="E2161">
            <v>4274.51</v>
          </cell>
          <cell r="F2161">
            <v>4274.51</v>
          </cell>
        </row>
        <row r="2162">
          <cell r="A2162">
            <v>45197</v>
          </cell>
          <cell r="B2162">
            <v>4269.6499999999996</v>
          </cell>
          <cell r="C2162">
            <v>4317.2700000000004</v>
          </cell>
          <cell r="D2162">
            <v>4264.38</v>
          </cell>
          <cell r="E2162">
            <v>4299.7</v>
          </cell>
          <cell r="F2162">
            <v>4299.7</v>
          </cell>
        </row>
        <row r="2163">
          <cell r="A2163">
            <v>45198</v>
          </cell>
          <cell r="B2163">
            <v>4328.18</v>
          </cell>
          <cell r="C2163">
            <v>4333.1499999999996</v>
          </cell>
          <cell r="D2163">
            <v>4274.8599999999997</v>
          </cell>
          <cell r="E2163">
            <v>4288.05</v>
          </cell>
          <cell r="F2163">
            <v>4288.05</v>
          </cell>
        </row>
        <row r="2164">
          <cell r="A2164">
            <v>45201</v>
          </cell>
          <cell r="B2164">
            <v>4284.5200000000004</v>
          </cell>
          <cell r="C2164">
            <v>4300.58</v>
          </cell>
          <cell r="D2164">
            <v>4260.21</v>
          </cell>
          <cell r="E2164">
            <v>4288.3900000000003</v>
          </cell>
          <cell r="F2164">
            <v>4288.3900000000003</v>
          </cell>
        </row>
        <row r="2165">
          <cell r="A2165">
            <v>45202</v>
          </cell>
          <cell r="B2165">
            <v>4269.75</v>
          </cell>
          <cell r="C2165">
            <v>4281.1499999999996</v>
          </cell>
          <cell r="D2165">
            <v>4216.45</v>
          </cell>
          <cell r="E2165">
            <v>4229.45</v>
          </cell>
          <cell r="F2165">
            <v>4229.45</v>
          </cell>
        </row>
        <row r="2166">
          <cell r="A2166">
            <v>45203</v>
          </cell>
          <cell r="B2166">
            <v>4233.83</v>
          </cell>
          <cell r="C2166">
            <v>4268.5</v>
          </cell>
          <cell r="D2166">
            <v>4220.4799999999996</v>
          </cell>
          <cell r="E2166">
            <v>4263.75</v>
          </cell>
          <cell r="F2166">
            <v>4263.75</v>
          </cell>
        </row>
        <row r="2167">
          <cell r="A2167">
            <v>45204</v>
          </cell>
          <cell r="B2167">
            <v>4259.3100000000004</v>
          </cell>
          <cell r="C2167">
            <v>4267.13</v>
          </cell>
          <cell r="D2167">
            <v>4225.91</v>
          </cell>
          <cell r="E2167">
            <v>4258.1899999999996</v>
          </cell>
          <cell r="F2167">
            <v>4258.1899999999996</v>
          </cell>
        </row>
        <row r="2168">
          <cell r="A2168">
            <v>45205</v>
          </cell>
          <cell r="B2168">
            <v>4234.79</v>
          </cell>
          <cell r="C2168">
            <v>4324.1000000000004</v>
          </cell>
          <cell r="D2168">
            <v>4219.55</v>
          </cell>
          <cell r="E2168">
            <v>4308.5</v>
          </cell>
          <cell r="F2168">
            <v>4308.5</v>
          </cell>
        </row>
        <row r="2169">
          <cell r="A2169">
            <v>45208</v>
          </cell>
          <cell r="B2169">
            <v>4289.0200000000004</v>
          </cell>
          <cell r="C2169">
            <v>4341.7299999999996</v>
          </cell>
          <cell r="D2169">
            <v>4283.79</v>
          </cell>
          <cell r="E2169">
            <v>4335.66</v>
          </cell>
          <cell r="F2169">
            <v>4335.66</v>
          </cell>
        </row>
        <row r="2170">
          <cell r="A2170">
            <v>45209</v>
          </cell>
          <cell r="B2170">
            <v>4339.75</v>
          </cell>
          <cell r="C2170">
            <v>4385.46</v>
          </cell>
          <cell r="D2170">
            <v>4339.6400000000003</v>
          </cell>
          <cell r="E2170">
            <v>4358.24</v>
          </cell>
          <cell r="F2170">
            <v>4358.24</v>
          </cell>
        </row>
        <row r="2171">
          <cell r="A2171">
            <v>45210</v>
          </cell>
          <cell r="B2171">
            <v>4366.59</v>
          </cell>
          <cell r="C2171">
            <v>4378.6400000000003</v>
          </cell>
          <cell r="D2171">
            <v>4345.34</v>
          </cell>
          <cell r="E2171">
            <v>4376.95</v>
          </cell>
          <cell r="F2171">
            <v>4376.95</v>
          </cell>
        </row>
        <row r="2172">
          <cell r="A2172">
            <v>45211</v>
          </cell>
          <cell r="B2172">
            <v>4380.9399999999996</v>
          </cell>
          <cell r="C2172">
            <v>4385.8500000000004</v>
          </cell>
          <cell r="D2172">
            <v>4325.43</v>
          </cell>
          <cell r="E2172">
            <v>4349.6099999999997</v>
          </cell>
          <cell r="F2172">
            <v>4349.6099999999997</v>
          </cell>
        </row>
        <row r="2173">
          <cell r="A2173">
            <v>45212</v>
          </cell>
          <cell r="B2173">
            <v>4360.49</v>
          </cell>
          <cell r="C2173">
            <v>4377.1000000000004</v>
          </cell>
          <cell r="D2173">
            <v>4311.97</v>
          </cell>
          <cell r="E2173">
            <v>4327.78</v>
          </cell>
          <cell r="F2173">
            <v>4327.78</v>
          </cell>
        </row>
        <row r="2174">
          <cell r="A2174">
            <v>45215</v>
          </cell>
          <cell r="B2174">
            <v>4342.37</v>
          </cell>
          <cell r="C2174">
            <v>4383.33</v>
          </cell>
          <cell r="D2174">
            <v>4342.37</v>
          </cell>
          <cell r="E2174">
            <v>4373.63</v>
          </cell>
          <cell r="F2174">
            <v>4373.63</v>
          </cell>
        </row>
        <row r="2175">
          <cell r="A2175">
            <v>45216</v>
          </cell>
          <cell r="B2175">
            <v>4345.2299999999996</v>
          </cell>
          <cell r="C2175">
            <v>4393.57</v>
          </cell>
          <cell r="D2175">
            <v>4337.54</v>
          </cell>
          <cell r="E2175">
            <v>4373.2</v>
          </cell>
          <cell r="F2175">
            <v>4373.2</v>
          </cell>
        </row>
        <row r="2176">
          <cell r="A2176">
            <v>45217</v>
          </cell>
          <cell r="B2176">
            <v>4357.3500000000004</v>
          </cell>
          <cell r="C2176">
            <v>4364.2</v>
          </cell>
          <cell r="D2176">
            <v>4303.84</v>
          </cell>
          <cell r="E2176">
            <v>4314.6000000000004</v>
          </cell>
          <cell r="F2176">
            <v>4314.6000000000004</v>
          </cell>
        </row>
        <row r="2177">
          <cell r="A2177">
            <v>45218</v>
          </cell>
          <cell r="B2177">
            <v>4321.3599999999997</v>
          </cell>
          <cell r="C2177">
            <v>4339.54</v>
          </cell>
          <cell r="D2177">
            <v>4269.6899999999996</v>
          </cell>
          <cell r="E2177">
            <v>4278</v>
          </cell>
          <cell r="F2177">
            <v>4278</v>
          </cell>
        </row>
        <row r="2178">
          <cell r="A2178">
            <v>45219</v>
          </cell>
          <cell r="B2178">
            <v>4273.8500000000004</v>
          </cell>
          <cell r="C2178">
            <v>4276.5600000000004</v>
          </cell>
          <cell r="D2178">
            <v>4223.03</v>
          </cell>
          <cell r="E2178">
            <v>4224.16</v>
          </cell>
          <cell r="F2178">
            <v>4224.16</v>
          </cell>
        </row>
        <row r="2179">
          <cell r="A2179">
            <v>45222</v>
          </cell>
          <cell r="B2179">
            <v>4210.3999999999996</v>
          </cell>
          <cell r="C2179">
            <v>4255.84</v>
          </cell>
          <cell r="D2179">
            <v>4189.22</v>
          </cell>
          <cell r="E2179">
            <v>4217.04</v>
          </cell>
          <cell r="F2179">
            <v>4217.04</v>
          </cell>
        </row>
        <row r="2180">
          <cell r="A2180">
            <v>45223</v>
          </cell>
          <cell r="B2180">
            <v>4235.79</v>
          </cell>
          <cell r="C2180">
            <v>4259.38</v>
          </cell>
          <cell r="D2180">
            <v>4219.43</v>
          </cell>
          <cell r="E2180">
            <v>4247.68</v>
          </cell>
          <cell r="F2180">
            <v>4247.68</v>
          </cell>
        </row>
        <row r="2181">
          <cell r="A2181">
            <v>45224</v>
          </cell>
          <cell r="B2181">
            <v>4232.42</v>
          </cell>
          <cell r="C2181">
            <v>4232.42</v>
          </cell>
          <cell r="D2181">
            <v>4181.42</v>
          </cell>
          <cell r="E2181">
            <v>4186.7700000000004</v>
          </cell>
          <cell r="F2181">
            <v>4186.7700000000004</v>
          </cell>
        </row>
        <row r="2182">
          <cell r="A2182">
            <v>45225</v>
          </cell>
          <cell r="B2182">
            <v>4175.99</v>
          </cell>
          <cell r="C2182">
            <v>4183.6000000000004</v>
          </cell>
          <cell r="D2182">
            <v>4127.8999999999996</v>
          </cell>
          <cell r="E2182">
            <v>4137.2299999999996</v>
          </cell>
          <cell r="F2182">
            <v>4137.2299999999996</v>
          </cell>
        </row>
        <row r="2183">
          <cell r="A2183">
            <v>45226</v>
          </cell>
          <cell r="B2183">
            <v>4152.93</v>
          </cell>
          <cell r="C2183">
            <v>4156.7</v>
          </cell>
          <cell r="D2183">
            <v>4103.78</v>
          </cell>
          <cell r="E2183">
            <v>4117.37</v>
          </cell>
          <cell r="F2183">
            <v>4117.37</v>
          </cell>
        </row>
        <row r="2184">
          <cell r="A2184">
            <v>45229</v>
          </cell>
          <cell r="B2184">
            <v>4139.3900000000003</v>
          </cell>
          <cell r="C2184">
            <v>4177.47</v>
          </cell>
          <cell r="D2184">
            <v>4132.9399999999996</v>
          </cell>
          <cell r="E2184">
            <v>4166.82</v>
          </cell>
          <cell r="F2184">
            <v>4166.82</v>
          </cell>
        </row>
        <row r="2185">
          <cell r="A2185">
            <v>45230</v>
          </cell>
          <cell r="B2185">
            <v>4171.33</v>
          </cell>
          <cell r="C2185">
            <v>4195.55</v>
          </cell>
          <cell r="D2185">
            <v>4153.12</v>
          </cell>
          <cell r="E2185">
            <v>4193.8</v>
          </cell>
          <cell r="F2185">
            <v>4193.8</v>
          </cell>
        </row>
        <row r="2186">
          <cell r="A2186">
            <v>45231</v>
          </cell>
          <cell r="B2186">
            <v>4201.2700000000004</v>
          </cell>
          <cell r="C2186">
            <v>4245.6400000000003</v>
          </cell>
          <cell r="D2186">
            <v>4197.74</v>
          </cell>
          <cell r="E2186">
            <v>4237.8599999999997</v>
          </cell>
          <cell r="F2186">
            <v>4237.8599999999997</v>
          </cell>
        </row>
        <row r="2187">
          <cell r="A2187">
            <v>45232</v>
          </cell>
          <cell r="B2187">
            <v>4268.26</v>
          </cell>
          <cell r="C2187">
            <v>4319.72</v>
          </cell>
          <cell r="D2187">
            <v>4268.26</v>
          </cell>
          <cell r="E2187">
            <v>4317.78</v>
          </cell>
          <cell r="F2187">
            <v>4317.78</v>
          </cell>
        </row>
        <row r="2188">
          <cell r="A2188">
            <v>45233</v>
          </cell>
          <cell r="B2188">
            <v>4334.2299999999996</v>
          </cell>
          <cell r="C2188">
            <v>4373.62</v>
          </cell>
          <cell r="D2188">
            <v>4334.2299999999996</v>
          </cell>
          <cell r="E2188">
            <v>4358.34</v>
          </cell>
          <cell r="F2188">
            <v>4358.34</v>
          </cell>
        </row>
        <row r="2189">
          <cell r="A2189">
            <v>45236</v>
          </cell>
          <cell r="B2189">
            <v>4364.2700000000004</v>
          </cell>
          <cell r="C2189">
            <v>4372.21</v>
          </cell>
          <cell r="D2189">
            <v>4347.53</v>
          </cell>
          <cell r="E2189">
            <v>4365.9799999999996</v>
          </cell>
          <cell r="F2189">
            <v>4365.9799999999996</v>
          </cell>
        </row>
        <row r="2190">
          <cell r="A2190">
            <v>45237</v>
          </cell>
          <cell r="B2190">
            <v>4366.21</v>
          </cell>
          <cell r="C2190">
            <v>4386.26</v>
          </cell>
          <cell r="D2190">
            <v>4355.41</v>
          </cell>
          <cell r="E2190">
            <v>4378.38</v>
          </cell>
          <cell r="F2190">
            <v>4378.38</v>
          </cell>
        </row>
        <row r="2191">
          <cell r="A2191">
            <v>45238</v>
          </cell>
          <cell r="B2191">
            <v>4384.37</v>
          </cell>
          <cell r="C2191">
            <v>4391.2</v>
          </cell>
          <cell r="D2191">
            <v>4359.76</v>
          </cell>
          <cell r="E2191">
            <v>4382.78</v>
          </cell>
          <cell r="F2191">
            <v>4382.78</v>
          </cell>
        </row>
        <row r="2192">
          <cell r="A2192">
            <v>45239</v>
          </cell>
          <cell r="B2192">
            <v>4391.41</v>
          </cell>
          <cell r="C2192">
            <v>4393.3999999999996</v>
          </cell>
          <cell r="D2192">
            <v>4343.9399999999996</v>
          </cell>
          <cell r="E2192">
            <v>4347.3500000000004</v>
          </cell>
          <cell r="F2192">
            <v>4347.3500000000004</v>
          </cell>
        </row>
        <row r="2193">
          <cell r="A2193">
            <v>45240</v>
          </cell>
          <cell r="B2193">
            <v>4364.1499999999996</v>
          </cell>
          <cell r="C2193">
            <v>4418.03</v>
          </cell>
          <cell r="D2193">
            <v>4353.34</v>
          </cell>
          <cell r="E2193">
            <v>4415.24</v>
          </cell>
          <cell r="F2193">
            <v>4415.24</v>
          </cell>
        </row>
        <row r="2194">
          <cell r="A2194">
            <v>45243</v>
          </cell>
          <cell r="B2194">
            <v>4406.66</v>
          </cell>
          <cell r="C2194">
            <v>4421.76</v>
          </cell>
          <cell r="D2194">
            <v>4393.82</v>
          </cell>
          <cell r="E2194">
            <v>4411.55</v>
          </cell>
          <cell r="F2194">
            <v>4411.55</v>
          </cell>
        </row>
        <row r="2195">
          <cell r="A2195">
            <v>45244</v>
          </cell>
          <cell r="B2195">
            <v>4458.97</v>
          </cell>
          <cell r="C2195">
            <v>4508.67</v>
          </cell>
          <cell r="D2195">
            <v>4458.97</v>
          </cell>
          <cell r="E2195">
            <v>4495.7</v>
          </cell>
          <cell r="F2195">
            <v>4495.7</v>
          </cell>
        </row>
        <row r="2196">
          <cell r="A2196">
            <v>45245</v>
          </cell>
          <cell r="B2196">
            <v>4505.3</v>
          </cell>
          <cell r="C2196">
            <v>4521.17</v>
          </cell>
          <cell r="D2196">
            <v>4495.3100000000004</v>
          </cell>
          <cell r="E2196">
            <v>4502.88</v>
          </cell>
          <cell r="F2196">
            <v>4502.88</v>
          </cell>
        </row>
        <row r="2197">
          <cell r="A2197">
            <v>45246</v>
          </cell>
          <cell r="B2197">
            <v>4497.08</v>
          </cell>
          <cell r="C2197">
            <v>4511.99</v>
          </cell>
          <cell r="D2197">
            <v>4487.83</v>
          </cell>
          <cell r="E2197">
            <v>4508.24</v>
          </cell>
          <cell r="F2197">
            <v>4508.24</v>
          </cell>
        </row>
        <row r="2198">
          <cell r="A2198">
            <v>45247</v>
          </cell>
          <cell r="B2198">
            <v>4509.55</v>
          </cell>
          <cell r="C2198">
            <v>4520.12</v>
          </cell>
          <cell r="D2198">
            <v>4499.66</v>
          </cell>
          <cell r="E2198">
            <v>4514.0200000000004</v>
          </cell>
          <cell r="F2198">
            <v>4514.0200000000004</v>
          </cell>
        </row>
        <row r="2199">
          <cell r="A2199">
            <v>45250</v>
          </cell>
          <cell r="B2199">
            <v>4511.7</v>
          </cell>
          <cell r="C2199">
            <v>4557.1099999999997</v>
          </cell>
          <cell r="D2199">
            <v>4510.3599999999997</v>
          </cell>
          <cell r="E2199">
            <v>4547.38</v>
          </cell>
          <cell r="F2199">
            <v>4547.38</v>
          </cell>
        </row>
        <row r="2200">
          <cell r="A2200">
            <v>45251</v>
          </cell>
          <cell r="B2200">
            <v>4538.7700000000004</v>
          </cell>
          <cell r="C2200">
            <v>4542.1400000000003</v>
          </cell>
          <cell r="D2200">
            <v>4525.51</v>
          </cell>
          <cell r="E2200">
            <v>4538.1899999999996</v>
          </cell>
          <cell r="F2200">
            <v>4538.1899999999996</v>
          </cell>
        </row>
        <row r="2201">
          <cell r="A2201">
            <v>45252</v>
          </cell>
          <cell r="B2201">
            <v>4553.04</v>
          </cell>
          <cell r="C2201">
            <v>4568.43</v>
          </cell>
          <cell r="D2201">
            <v>4545.05</v>
          </cell>
          <cell r="E2201">
            <v>4556.62</v>
          </cell>
          <cell r="F2201">
            <v>4556.62</v>
          </cell>
        </row>
        <row r="2202">
          <cell r="A2202">
            <v>45254</v>
          </cell>
          <cell r="B2202">
            <v>4555.84</v>
          </cell>
          <cell r="C2202">
            <v>4560.3100000000004</v>
          </cell>
          <cell r="D2202">
            <v>4552.8</v>
          </cell>
          <cell r="E2202">
            <v>4559.34</v>
          </cell>
          <cell r="F2202">
            <v>4559.34</v>
          </cell>
        </row>
        <row r="2203">
          <cell r="A2203">
            <v>45257</v>
          </cell>
          <cell r="B2203">
            <v>4554.8599999999997</v>
          </cell>
          <cell r="C2203">
            <v>4560.5200000000004</v>
          </cell>
          <cell r="D2203">
            <v>4546.32</v>
          </cell>
          <cell r="E2203">
            <v>4550.43</v>
          </cell>
          <cell r="F2203">
            <v>4550.43</v>
          </cell>
        </row>
        <row r="2204">
          <cell r="A2204">
            <v>45258</v>
          </cell>
          <cell r="B2204">
            <v>4545.55</v>
          </cell>
          <cell r="C2204">
            <v>4568.1400000000003</v>
          </cell>
          <cell r="D2204">
            <v>4540.51</v>
          </cell>
          <cell r="E2204">
            <v>4554.8900000000003</v>
          </cell>
          <cell r="F2204">
            <v>4554.8900000000003</v>
          </cell>
        </row>
        <row r="2205">
          <cell r="A2205">
            <v>45259</v>
          </cell>
          <cell r="B2205">
            <v>4571.84</v>
          </cell>
          <cell r="C2205">
            <v>4587.6400000000003</v>
          </cell>
          <cell r="D2205">
            <v>4547.1499999999996</v>
          </cell>
          <cell r="E2205">
            <v>4550.58</v>
          </cell>
          <cell r="F2205">
            <v>4550.58</v>
          </cell>
        </row>
        <row r="2206">
          <cell r="A2206">
            <v>45260</v>
          </cell>
          <cell r="B2206">
            <v>4554.87</v>
          </cell>
          <cell r="C2206">
            <v>4569.8900000000003</v>
          </cell>
          <cell r="D2206">
            <v>4537.24</v>
          </cell>
          <cell r="E2206">
            <v>4567.8</v>
          </cell>
          <cell r="F2206">
            <v>4567.8</v>
          </cell>
        </row>
        <row r="2207">
          <cell r="A2207">
            <v>45261</v>
          </cell>
          <cell r="B2207">
            <v>4559.43</v>
          </cell>
          <cell r="C2207">
            <v>4599.3900000000003</v>
          </cell>
          <cell r="D2207">
            <v>4554.71</v>
          </cell>
          <cell r="E2207">
            <v>4594.63</v>
          </cell>
          <cell r="F2207">
            <v>4594.63</v>
          </cell>
        </row>
        <row r="2208">
          <cell r="A2208">
            <v>45264</v>
          </cell>
          <cell r="B2208">
            <v>4564.37</v>
          </cell>
          <cell r="C2208">
            <v>4572.37</v>
          </cell>
          <cell r="D2208">
            <v>4546.72</v>
          </cell>
          <cell r="E2208">
            <v>4569.78</v>
          </cell>
          <cell r="F2208">
            <v>4569.78</v>
          </cell>
        </row>
        <row r="2209">
          <cell r="A2209">
            <v>45265</v>
          </cell>
          <cell r="B2209">
            <v>4557.25</v>
          </cell>
          <cell r="C2209">
            <v>4578.5600000000004</v>
          </cell>
          <cell r="D2209">
            <v>4551.68</v>
          </cell>
          <cell r="E2209">
            <v>4567.18</v>
          </cell>
          <cell r="F2209">
            <v>4567.18</v>
          </cell>
        </row>
        <row r="2210">
          <cell r="A2210">
            <v>45266</v>
          </cell>
          <cell r="B2210">
            <v>4586.2299999999996</v>
          </cell>
          <cell r="C2210">
            <v>4590.74</v>
          </cell>
          <cell r="D2210">
            <v>4546.5</v>
          </cell>
          <cell r="E2210">
            <v>4549.34</v>
          </cell>
          <cell r="F2210">
            <v>4549.34</v>
          </cell>
        </row>
        <row r="2211">
          <cell r="A2211">
            <v>45267</v>
          </cell>
          <cell r="B2211">
            <v>4568.84</v>
          </cell>
          <cell r="C2211">
            <v>4590.92</v>
          </cell>
          <cell r="D2211">
            <v>4565.22</v>
          </cell>
          <cell r="E2211">
            <v>4585.59</v>
          </cell>
          <cell r="F2211">
            <v>4585.59</v>
          </cell>
        </row>
        <row r="2212">
          <cell r="A2212">
            <v>45268</v>
          </cell>
          <cell r="B2212">
            <v>4576.2</v>
          </cell>
          <cell r="C2212">
            <v>4609.2299999999996</v>
          </cell>
          <cell r="D2212">
            <v>4574.0600000000004</v>
          </cell>
          <cell r="E2212">
            <v>4604.37</v>
          </cell>
          <cell r="F2212">
            <v>4604.37</v>
          </cell>
        </row>
        <row r="2213">
          <cell r="A2213">
            <v>45271</v>
          </cell>
          <cell r="B2213">
            <v>4593.3900000000003</v>
          </cell>
          <cell r="C2213">
            <v>4623.71</v>
          </cell>
          <cell r="D2213">
            <v>4593.3900000000003</v>
          </cell>
          <cell r="E2213">
            <v>4622.4399999999996</v>
          </cell>
          <cell r="F2213">
            <v>4622.4399999999996</v>
          </cell>
        </row>
        <row r="2214">
          <cell r="A2214">
            <v>45272</v>
          </cell>
          <cell r="B2214">
            <v>4618.3</v>
          </cell>
          <cell r="C2214">
            <v>4643.93</v>
          </cell>
          <cell r="D2214">
            <v>4608.09</v>
          </cell>
          <cell r="E2214">
            <v>4643.7</v>
          </cell>
          <cell r="F2214">
            <v>4643.7</v>
          </cell>
        </row>
        <row r="2215">
          <cell r="A2215">
            <v>45273</v>
          </cell>
          <cell r="B2215">
            <v>4646.2</v>
          </cell>
          <cell r="C2215">
            <v>4709.6899999999996</v>
          </cell>
          <cell r="D2215">
            <v>4643.2299999999996</v>
          </cell>
          <cell r="E2215">
            <v>4707.09</v>
          </cell>
          <cell r="F2215">
            <v>4707.09</v>
          </cell>
        </row>
        <row r="2216">
          <cell r="A2216">
            <v>45274</v>
          </cell>
          <cell r="B2216">
            <v>4721.04</v>
          </cell>
          <cell r="C2216">
            <v>4738.57</v>
          </cell>
          <cell r="D2216">
            <v>4694.34</v>
          </cell>
          <cell r="E2216">
            <v>4719.55</v>
          </cell>
          <cell r="F2216">
            <v>4719.55</v>
          </cell>
        </row>
        <row r="2217">
          <cell r="A2217">
            <v>45275</v>
          </cell>
          <cell r="B2217">
            <v>4714.2299999999996</v>
          </cell>
          <cell r="C2217">
            <v>4725.53</v>
          </cell>
          <cell r="D2217">
            <v>4704.6899999999996</v>
          </cell>
          <cell r="E2217">
            <v>4719.1899999999996</v>
          </cell>
          <cell r="F2217">
            <v>4719.1899999999996</v>
          </cell>
        </row>
        <row r="2218">
          <cell r="A2218">
            <v>45278</v>
          </cell>
          <cell r="B2218">
            <v>4725.58</v>
          </cell>
          <cell r="C2218">
            <v>4749.5200000000004</v>
          </cell>
          <cell r="D2218">
            <v>4725.58</v>
          </cell>
          <cell r="E2218">
            <v>4740.5600000000004</v>
          </cell>
          <cell r="F2218">
            <v>4740.5600000000004</v>
          </cell>
        </row>
        <row r="2219">
          <cell r="A2219">
            <v>45279</v>
          </cell>
          <cell r="B2219">
            <v>4743.72</v>
          </cell>
          <cell r="C2219">
            <v>4768.6899999999996</v>
          </cell>
          <cell r="D2219">
            <v>4743.72</v>
          </cell>
          <cell r="E2219">
            <v>4768.37</v>
          </cell>
          <cell r="F2219">
            <v>4768.37</v>
          </cell>
        </row>
        <row r="2220">
          <cell r="A2220">
            <v>45280</v>
          </cell>
          <cell r="B2220">
            <v>4764.7299999999996</v>
          </cell>
          <cell r="C2220">
            <v>4778.01</v>
          </cell>
          <cell r="D2220">
            <v>4697.82</v>
          </cell>
          <cell r="E2220">
            <v>4698.3500000000004</v>
          </cell>
          <cell r="F2220">
            <v>4698.3500000000004</v>
          </cell>
        </row>
        <row r="2221">
          <cell r="A2221">
            <v>45281</v>
          </cell>
          <cell r="B2221">
            <v>4724.29</v>
          </cell>
          <cell r="C2221">
            <v>4748.71</v>
          </cell>
          <cell r="D2221">
            <v>4708.3500000000004</v>
          </cell>
          <cell r="E2221">
            <v>4746.75</v>
          </cell>
          <cell r="F2221">
            <v>4746.75</v>
          </cell>
        </row>
        <row r="2222">
          <cell r="A2222">
            <v>45282</v>
          </cell>
          <cell r="B2222">
            <v>4753.92</v>
          </cell>
          <cell r="C2222">
            <v>4772.9399999999996</v>
          </cell>
          <cell r="D2222">
            <v>4736.7700000000004</v>
          </cell>
          <cell r="E2222">
            <v>4754.63</v>
          </cell>
          <cell r="F2222">
            <v>4754.63</v>
          </cell>
        </row>
        <row r="2223">
          <cell r="A2223">
            <v>45286</v>
          </cell>
          <cell r="B2223">
            <v>4758.8599999999997</v>
          </cell>
          <cell r="C2223">
            <v>4784.72</v>
          </cell>
          <cell r="D2223">
            <v>4758.45</v>
          </cell>
          <cell r="E2223">
            <v>4774.75</v>
          </cell>
          <cell r="F2223">
            <v>4774.75</v>
          </cell>
        </row>
        <row r="2224">
          <cell r="A2224">
            <v>45287</v>
          </cell>
          <cell r="B2224">
            <v>4773.45</v>
          </cell>
          <cell r="C2224">
            <v>4785.3900000000003</v>
          </cell>
          <cell r="D2224">
            <v>4768.8999999999996</v>
          </cell>
          <cell r="E2224">
            <v>4781.58</v>
          </cell>
          <cell r="F2224">
            <v>4781.58</v>
          </cell>
        </row>
        <row r="2225">
          <cell r="A2225">
            <v>45288</v>
          </cell>
          <cell r="B2225">
            <v>4786.4399999999996</v>
          </cell>
          <cell r="C2225">
            <v>4793.3</v>
          </cell>
          <cell r="D2225">
            <v>4780.9799999999996</v>
          </cell>
          <cell r="E2225">
            <v>4783.3500000000004</v>
          </cell>
          <cell r="F2225">
            <v>4783.3500000000004</v>
          </cell>
        </row>
        <row r="2226">
          <cell r="A2226">
            <v>45289</v>
          </cell>
          <cell r="B2226">
            <v>4782.88</v>
          </cell>
          <cell r="C2226">
            <v>4788.43</v>
          </cell>
          <cell r="D2226">
            <v>4751.99</v>
          </cell>
          <cell r="E2226">
            <v>4769.83</v>
          </cell>
          <cell r="F2226">
            <v>4769.83</v>
          </cell>
        </row>
        <row r="2227">
          <cell r="A2227">
            <v>45293</v>
          </cell>
          <cell r="B2227">
            <v>4745.2</v>
          </cell>
          <cell r="C2227">
            <v>4754.33</v>
          </cell>
          <cell r="D2227">
            <v>4722.67</v>
          </cell>
          <cell r="E2227">
            <v>4742.83</v>
          </cell>
          <cell r="F2227">
            <v>4742.83</v>
          </cell>
        </row>
        <row r="2228">
          <cell r="A2228">
            <v>45294</v>
          </cell>
          <cell r="B2228">
            <v>4725.07</v>
          </cell>
          <cell r="C2228">
            <v>4729.29</v>
          </cell>
          <cell r="D2228">
            <v>4699.71</v>
          </cell>
          <cell r="E2228">
            <v>4704.8100000000004</v>
          </cell>
          <cell r="F2228">
            <v>4704.8100000000004</v>
          </cell>
        </row>
        <row r="2229">
          <cell r="A2229">
            <v>45295</v>
          </cell>
          <cell r="B2229">
            <v>4697.42</v>
          </cell>
          <cell r="C2229">
            <v>4726.78</v>
          </cell>
          <cell r="D2229">
            <v>4687.53</v>
          </cell>
          <cell r="E2229">
            <v>4688.68</v>
          </cell>
          <cell r="F2229">
            <v>4688.68</v>
          </cell>
        </row>
        <row r="2230">
          <cell r="A2230">
            <v>45296</v>
          </cell>
          <cell r="B2230">
            <v>4690.57</v>
          </cell>
          <cell r="C2230">
            <v>4721.49</v>
          </cell>
          <cell r="D2230">
            <v>4682.1099999999997</v>
          </cell>
          <cell r="E2230">
            <v>4697.24</v>
          </cell>
          <cell r="F2230">
            <v>4697.24</v>
          </cell>
        </row>
        <row r="2231">
          <cell r="A2231">
            <v>45299</v>
          </cell>
          <cell r="B2231">
            <v>4703.7</v>
          </cell>
          <cell r="C2231">
            <v>4764.54</v>
          </cell>
          <cell r="D2231">
            <v>4699.82</v>
          </cell>
          <cell r="E2231">
            <v>4763.54</v>
          </cell>
          <cell r="F2231">
            <v>4763.54</v>
          </cell>
        </row>
        <row r="2232">
          <cell r="A2232">
            <v>45300</v>
          </cell>
          <cell r="B2232">
            <v>4741.93</v>
          </cell>
          <cell r="C2232">
            <v>4765.47</v>
          </cell>
          <cell r="D2232">
            <v>4730.3500000000004</v>
          </cell>
          <cell r="E2232">
            <v>4756.5</v>
          </cell>
          <cell r="F2232">
            <v>4756.5</v>
          </cell>
        </row>
        <row r="2233">
          <cell r="A2233">
            <v>45301</v>
          </cell>
          <cell r="B2233">
            <v>4759.9399999999996</v>
          </cell>
          <cell r="C2233">
            <v>4790.8</v>
          </cell>
          <cell r="D2233">
            <v>4756.2</v>
          </cell>
          <cell r="E2233">
            <v>4783.45</v>
          </cell>
          <cell r="F2233">
            <v>4783.45</v>
          </cell>
        </row>
        <row r="2234">
          <cell r="A2234">
            <v>45302</v>
          </cell>
          <cell r="B2234">
            <v>4792.13</v>
          </cell>
          <cell r="C2234">
            <v>4798.5</v>
          </cell>
          <cell r="D2234">
            <v>4739.58</v>
          </cell>
          <cell r="E2234">
            <v>4780.24</v>
          </cell>
          <cell r="F2234">
            <v>4780.24</v>
          </cell>
        </row>
        <row r="2235">
          <cell r="A2235">
            <v>45303</v>
          </cell>
          <cell r="B2235">
            <v>4791.18</v>
          </cell>
          <cell r="C2235">
            <v>4802.3999999999996</v>
          </cell>
          <cell r="D2235">
            <v>4768.9799999999996</v>
          </cell>
          <cell r="E2235">
            <v>4783.83</v>
          </cell>
          <cell r="F2235">
            <v>4783.83</v>
          </cell>
        </row>
        <row r="2236">
          <cell r="A2236">
            <v>45307</v>
          </cell>
          <cell r="B2236">
            <v>4772.3500000000004</v>
          </cell>
          <cell r="C2236">
            <v>4782.34</v>
          </cell>
          <cell r="D2236">
            <v>4747.12</v>
          </cell>
          <cell r="E2236">
            <v>4765.9799999999996</v>
          </cell>
          <cell r="F2236">
            <v>4765.9799999999996</v>
          </cell>
        </row>
        <row r="2237">
          <cell r="A2237">
            <v>45308</v>
          </cell>
          <cell r="B2237">
            <v>4739.13</v>
          </cell>
          <cell r="C2237">
            <v>4744.2299999999996</v>
          </cell>
          <cell r="D2237">
            <v>4714.82</v>
          </cell>
          <cell r="E2237">
            <v>4739.21</v>
          </cell>
          <cell r="F2237">
            <v>4739.21</v>
          </cell>
        </row>
        <row r="2238">
          <cell r="A2238">
            <v>45309</v>
          </cell>
          <cell r="B2238">
            <v>4760.1000000000004</v>
          </cell>
          <cell r="C2238">
            <v>4785.79</v>
          </cell>
          <cell r="D2238">
            <v>4740.57</v>
          </cell>
          <cell r="E2238">
            <v>4780.9399999999996</v>
          </cell>
          <cell r="F2238">
            <v>4780.9399999999996</v>
          </cell>
        </row>
        <row r="2239">
          <cell r="A2239">
            <v>45310</v>
          </cell>
          <cell r="B2239">
            <v>4796.28</v>
          </cell>
          <cell r="C2239">
            <v>4842.07</v>
          </cell>
          <cell r="D2239">
            <v>4785.87</v>
          </cell>
          <cell r="E2239">
            <v>4839.8100000000004</v>
          </cell>
          <cell r="F2239">
            <v>4839.8100000000004</v>
          </cell>
        </row>
        <row r="2240">
          <cell r="A2240">
            <v>45313</v>
          </cell>
          <cell r="B2240">
            <v>4853.42</v>
          </cell>
          <cell r="C2240">
            <v>4868.41</v>
          </cell>
          <cell r="D2240">
            <v>4844.05</v>
          </cell>
          <cell r="E2240">
            <v>4850.43</v>
          </cell>
          <cell r="F2240">
            <v>4850.43</v>
          </cell>
        </row>
        <row r="2241">
          <cell r="A2241">
            <v>45314</v>
          </cell>
          <cell r="B2241">
            <v>4856.8</v>
          </cell>
          <cell r="C2241">
            <v>4866.4799999999996</v>
          </cell>
          <cell r="D2241">
            <v>4844.37</v>
          </cell>
          <cell r="E2241">
            <v>4864.6000000000004</v>
          </cell>
          <cell r="F2241">
            <v>4864.6000000000004</v>
          </cell>
        </row>
        <row r="2242">
          <cell r="A2242">
            <v>45315</v>
          </cell>
          <cell r="B2242">
            <v>4888.5600000000004</v>
          </cell>
          <cell r="C2242">
            <v>4903.68</v>
          </cell>
          <cell r="D2242">
            <v>4865.9399999999996</v>
          </cell>
          <cell r="E2242">
            <v>4868.55</v>
          </cell>
          <cell r="F2242">
            <v>4868.55</v>
          </cell>
        </row>
        <row r="2243">
          <cell r="A2243">
            <v>45316</v>
          </cell>
          <cell r="B2243">
            <v>4886.66</v>
          </cell>
          <cell r="C2243">
            <v>4898.1499999999996</v>
          </cell>
          <cell r="D2243">
            <v>4869.34</v>
          </cell>
          <cell r="E2243">
            <v>4894.16</v>
          </cell>
          <cell r="F2243">
            <v>4894.16</v>
          </cell>
        </row>
        <row r="2244">
          <cell r="A2244">
            <v>45317</v>
          </cell>
          <cell r="B2244">
            <v>4888.91</v>
          </cell>
          <cell r="C2244">
            <v>4906.6899999999996</v>
          </cell>
          <cell r="D2244">
            <v>4881.47</v>
          </cell>
          <cell r="E2244">
            <v>4890.97</v>
          </cell>
          <cell r="F2244">
            <v>4890.97</v>
          </cell>
        </row>
        <row r="2245">
          <cell r="A2245">
            <v>45320</v>
          </cell>
          <cell r="B2245">
            <v>4892.95</v>
          </cell>
          <cell r="C2245">
            <v>4929.3100000000004</v>
          </cell>
          <cell r="D2245">
            <v>4887.3999999999996</v>
          </cell>
          <cell r="E2245">
            <v>4927.93</v>
          </cell>
          <cell r="F2245">
            <v>4927.93</v>
          </cell>
        </row>
        <row r="2246">
          <cell r="A2246">
            <v>45321</v>
          </cell>
          <cell r="B2246">
            <v>4925.8900000000003</v>
          </cell>
          <cell r="C2246">
            <v>4931.09</v>
          </cell>
          <cell r="D2246">
            <v>4916.2700000000004</v>
          </cell>
          <cell r="E2246">
            <v>4924.97</v>
          </cell>
          <cell r="F2246">
            <v>4924.97</v>
          </cell>
        </row>
        <row r="2247">
          <cell r="A2247">
            <v>45322</v>
          </cell>
          <cell r="B2247">
            <v>4899.1899999999996</v>
          </cell>
          <cell r="C2247">
            <v>4906.75</v>
          </cell>
          <cell r="D2247">
            <v>4845.1499999999996</v>
          </cell>
          <cell r="E2247">
            <v>4845.6499999999996</v>
          </cell>
          <cell r="F2247">
            <v>4845.6499999999996</v>
          </cell>
        </row>
        <row r="2248">
          <cell r="A2248">
            <v>45323</v>
          </cell>
          <cell r="B2248">
            <v>4861.1099999999997</v>
          </cell>
          <cell r="C2248">
            <v>4906.97</v>
          </cell>
          <cell r="D2248">
            <v>4853.5200000000004</v>
          </cell>
          <cell r="E2248">
            <v>4906.1899999999996</v>
          </cell>
          <cell r="F2248">
            <v>4906.1899999999996</v>
          </cell>
        </row>
        <row r="2249">
          <cell r="A2249">
            <v>45324</v>
          </cell>
          <cell r="B2249">
            <v>4916.0600000000004</v>
          </cell>
          <cell r="C2249">
            <v>4975.29</v>
          </cell>
          <cell r="D2249">
            <v>4907.99</v>
          </cell>
          <cell r="E2249">
            <v>4958.6099999999997</v>
          </cell>
          <cell r="F2249">
            <v>4958.6099999999997</v>
          </cell>
        </row>
        <row r="2250">
          <cell r="A2250">
            <v>45327</v>
          </cell>
          <cell r="B2250">
            <v>4957.1899999999996</v>
          </cell>
          <cell r="C2250">
            <v>4957.1899999999996</v>
          </cell>
          <cell r="D2250">
            <v>4918.09</v>
          </cell>
          <cell r="E2250">
            <v>4942.8100000000004</v>
          </cell>
          <cell r="F2250">
            <v>4942.8100000000004</v>
          </cell>
        </row>
        <row r="2251">
          <cell r="A2251">
            <v>45328</v>
          </cell>
          <cell r="B2251">
            <v>4950.16</v>
          </cell>
          <cell r="C2251">
            <v>4957.7700000000004</v>
          </cell>
          <cell r="D2251">
            <v>4934.88</v>
          </cell>
          <cell r="E2251">
            <v>4954.2299999999996</v>
          </cell>
          <cell r="F2251">
            <v>4954.2299999999996</v>
          </cell>
        </row>
        <row r="2252">
          <cell r="A2252">
            <v>45329</v>
          </cell>
          <cell r="B2252">
            <v>4973.05</v>
          </cell>
          <cell r="C2252">
            <v>4999.8900000000003</v>
          </cell>
          <cell r="D2252">
            <v>4969.05</v>
          </cell>
          <cell r="E2252">
            <v>4995.0600000000004</v>
          </cell>
          <cell r="F2252">
            <v>4995.0600000000004</v>
          </cell>
        </row>
        <row r="2253">
          <cell r="A2253">
            <v>45330</v>
          </cell>
          <cell r="B2253">
            <v>4995.16</v>
          </cell>
          <cell r="C2253">
            <v>5000.3999999999996</v>
          </cell>
          <cell r="D2253">
            <v>4987.09</v>
          </cell>
          <cell r="E2253">
            <v>4997.91</v>
          </cell>
          <cell r="F2253">
            <v>4997.91</v>
          </cell>
        </row>
        <row r="2254">
          <cell r="A2254">
            <v>45331</v>
          </cell>
          <cell r="B2254">
            <v>5004.17</v>
          </cell>
          <cell r="C2254">
            <v>5030.0600000000004</v>
          </cell>
          <cell r="D2254">
            <v>5000.34</v>
          </cell>
          <cell r="E2254">
            <v>5026.6099999999997</v>
          </cell>
          <cell r="F2254">
            <v>5026.6099999999997</v>
          </cell>
        </row>
        <row r="2255">
          <cell r="A2255">
            <v>45334</v>
          </cell>
          <cell r="B2255">
            <v>5026.83</v>
          </cell>
          <cell r="C2255">
            <v>5048.3900000000003</v>
          </cell>
          <cell r="D2255">
            <v>5016.83</v>
          </cell>
          <cell r="E2255">
            <v>5021.84</v>
          </cell>
          <cell r="F2255">
            <v>5021.84</v>
          </cell>
        </row>
        <row r="2256">
          <cell r="A2256">
            <v>45335</v>
          </cell>
          <cell r="B2256">
            <v>4967.9399999999996</v>
          </cell>
          <cell r="C2256">
            <v>4971.3</v>
          </cell>
          <cell r="D2256">
            <v>4920.3100000000004</v>
          </cell>
          <cell r="E2256">
            <v>4953.17</v>
          </cell>
          <cell r="F2256">
            <v>4953.17</v>
          </cell>
        </row>
        <row r="2257">
          <cell r="A2257">
            <v>45336</v>
          </cell>
          <cell r="B2257">
            <v>4976.4399999999996</v>
          </cell>
          <cell r="C2257">
            <v>5002.5200000000004</v>
          </cell>
          <cell r="D2257">
            <v>4956.45</v>
          </cell>
          <cell r="E2257">
            <v>5000.62</v>
          </cell>
          <cell r="F2257">
            <v>5000.62</v>
          </cell>
        </row>
        <row r="2258">
          <cell r="A2258">
            <v>45337</v>
          </cell>
          <cell r="B2258">
            <v>5003.1400000000003</v>
          </cell>
          <cell r="C2258">
            <v>5032.72</v>
          </cell>
          <cell r="D2258">
            <v>4999.4399999999996</v>
          </cell>
          <cell r="E2258">
            <v>5029.7299999999996</v>
          </cell>
          <cell r="F2258">
            <v>5029.7299999999996</v>
          </cell>
        </row>
        <row r="2259">
          <cell r="A2259">
            <v>45338</v>
          </cell>
          <cell r="B2259">
            <v>5031.13</v>
          </cell>
          <cell r="C2259">
            <v>5038.7</v>
          </cell>
          <cell r="D2259">
            <v>4999.5200000000004</v>
          </cell>
          <cell r="E2259">
            <v>5005.57</v>
          </cell>
          <cell r="F2259">
            <v>5005.57</v>
          </cell>
        </row>
        <row r="2260">
          <cell r="A2260">
            <v>45342</v>
          </cell>
          <cell r="B2260">
            <v>4989.32</v>
          </cell>
          <cell r="C2260">
            <v>4993.71</v>
          </cell>
          <cell r="D2260">
            <v>4955.0200000000004</v>
          </cell>
          <cell r="E2260">
            <v>4975.51</v>
          </cell>
          <cell r="F2260">
            <v>4975.51</v>
          </cell>
        </row>
        <row r="2261">
          <cell r="A2261">
            <v>45343</v>
          </cell>
          <cell r="B2261">
            <v>4963.03</v>
          </cell>
          <cell r="C2261">
            <v>4983.21</v>
          </cell>
          <cell r="D2261">
            <v>4946</v>
          </cell>
          <cell r="E2261">
            <v>4981.8</v>
          </cell>
          <cell r="F2261">
            <v>4981.8</v>
          </cell>
        </row>
        <row r="2262">
          <cell r="A2262">
            <v>45344</v>
          </cell>
          <cell r="B2262">
            <v>5038.83</v>
          </cell>
          <cell r="C2262">
            <v>5094.3900000000003</v>
          </cell>
          <cell r="D2262">
            <v>5038.83</v>
          </cell>
          <cell r="E2262">
            <v>5087.03</v>
          </cell>
          <cell r="F2262">
            <v>5087.03</v>
          </cell>
        </row>
        <row r="2263">
          <cell r="A2263">
            <v>45345</v>
          </cell>
          <cell r="B2263">
            <v>5100.92</v>
          </cell>
          <cell r="C2263">
            <v>5111.0600000000004</v>
          </cell>
          <cell r="D2263">
            <v>5081.46</v>
          </cell>
          <cell r="E2263">
            <v>5088.8</v>
          </cell>
          <cell r="F2263">
            <v>5088.8</v>
          </cell>
        </row>
        <row r="2264">
          <cell r="A2264">
            <v>45348</v>
          </cell>
          <cell r="B2264">
            <v>5093</v>
          </cell>
          <cell r="C2264">
            <v>5097.66</v>
          </cell>
          <cell r="D2264">
            <v>5068.91</v>
          </cell>
          <cell r="E2264">
            <v>5069.53</v>
          </cell>
          <cell r="F2264">
            <v>5069.53</v>
          </cell>
        </row>
        <row r="2265">
          <cell r="A2265">
            <v>45349</v>
          </cell>
          <cell r="B2265">
            <v>5074.6000000000004</v>
          </cell>
          <cell r="C2265">
            <v>5080.6899999999996</v>
          </cell>
          <cell r="D2265">
            <v>5057.29</v>
          </cell>
          <cell r="E2265">
            <v>5078.18</v>
          </cell>
          <cell r="F2265">
            <v>5078.18</v>
          </cell>
        </row>
        <row r="2266">
          <cell r="A2266">
            <v>45350</v>
          </cell>
          <cell r="B2266">
            <v>5067.2</v>
          </cell>
          <cell r="C2266">
            <v>5077.37</v>
          </cell>
          <cell r="D2266">
            <v>5058.3500000000004</v>
          </cell>
          <cell r="E2266">
            <v>5069.76</v>
          </cell>
          <cell r="F2266">
            <v>5069.76</v>
          </cell>
        </row>
        <row r="2267">
          <cell r="A2267">
            <v>45351</v>
          </cell>
          <cell r="B2267">
            <v>5085.3599999999997</v>
          </cell>
          <cell r="C2267">
            <v>5104.99</v>
          </cell>
          <cell r="D2267">
            <v>5061.8900000000003</v>
          </cell>
          <cell r="E2267">
            <v>5096.2700000000004</v>
          </cell>
          <cell r="F2267">
            <v>5096.2700000000004</v>
          </cell>
        </row>
        <row r="2268">
          <cell r="A2268">
            <v>45352</v>
          </cell>
          <cell r="B2268">
            <v>5098.51</v>
          </cell>
          <cell r="C2268">
            <v>5140.33</v>
          </cell>
          <cell r="D2268">
            <v>5094.16</v>
          </cell>
          <cell r="E2268">
            <v>5137.08</v>
          </cell>
          <cell r="F2268">
            <v>5137.08</v>
          </cell>
        </row>
        <row r="2269">
          <cell r="A2269">
            <v>45355</v>
          </cell>
          <cell r="B2269">
            <v>5130.99</v>
          </cell>
          <cell r="C2269">
            <v>5149.67</v>
          </cell>
          <cell r="D2269">
            <v>5127.18</v>
          </cell>
          <cell r="E2269">
            <v>5130.95</v>
          </cell>
          <cell r="F2269">
            <v>5130.95</v>
          </cell>
        </row>
        <row r="2270">
          <cell r="A2270">
            <v>45356</v>
          </cell>
          <cell r="B2270">
            <v>5110.5200000000004</v>
          </cell>
          <cell r="C2270">
            <v>5114.54</v>
          </cell>
          <cell r="D2270">
            <v>5056.82</v>
          </cell>
          <cell r="E2270">
            <v>5078.6499999999996</v>
          </cell>
          <cell r="F2270">
            <v>5078.6499999999996</v>
          </cell>
        </row>
        <row r="2271">
          <cell r="A2271">
            <v>45357</v>
          </cell>
          <cell r="B2271">
            <v>5108.03</v>
          </cell>
          <cell r="C2271">
            <v>5127.97</v>
          </cell>
          <cell r="D2271">
            <v>5092.22</v>
          </cell>
          <cell r="E2271">
            <v>5104.76</v>
          </cell>
          <cell r="F2271">
            <v>5104.76</v>
          </cell>
        </row>
        <row r="2272">
          <cell r="A2272">
            <v>45358</v>
          </cell>
          <cell r="B2272">
            <v>5132.38</v>
          </cell>
          <cell r="C2272">
            <v>5165.62</v>
          </cell>
          <cell r="D2272">
            <v>5128.21</v>
          </cell>
          <cell r="E2272">
            <v>5157.3599999999997</v>
          </cell>
          <cell r="F2272">
            <v>5157.3599999999997</v>
          </cell>
        </row>
        <row r="2273">
          <cell r="A2273">
            <v>45359</v>
          </cell>
          <cell r="B2273">
            <v>5164.46</v>
          </cell>
          <cell r="C2273">
            <v>5189.26</v>
          </cell>
          <cell r="D2273">
            <v>5117.5</v>
          </cell>
          <cell r="E2273">
            <v>5123.6899999999996</v>
          </cell>
          <cell r="F2273">
            <v>5123.6899999999996</v>
          </cell>
        </row>
        <row r="2274">
          <cell r="A2274">
            <v>45362</v>
          </cell>
          <cell r="B2274">
            <v>5111.96</v>
          </cell>
          <cell r="C2274">
            <v>5124.66</v>
          </cell>
          <cell r="D2274">
            <v>5091.1400000000003</v>
          </cell>
          <cell r="E2274">
            <v>5117.9399999999996</v>
          </cell>
          <cell r="F2274">
            <v>5117.9399999999996</v>
          </cell>
        </row>
        <row r="2275">
          <cell r="A2275">
            <v>45363</v>
          </cell>
          <cell r="B2275">
            <v>5134.3</v>
          </cell>
          <cell r="C2275">
            <v>5179.87</v>
          </cell>
          <cell r="D2275">
            <v>5114.4799999999996</v>
          </cell>
          <cell r="E2275">
            <v>5175.2700000000004</v>
          </cell>
          <cell r="F2275">
            <v>5175.2700000000004</v>
          </cell>
        </row>
        <row r="2276">
          <cell r="A2276">
            <v>45364</v>
          </cell>
          <cell r="B2276">
            <v>5173.49</v>
          </cell>
          <cell r="C2276">
            <v>5179.1400000000003</v>
          </cell>
          <cell r="D2276">
            <v>5151.88</v>
          </cell>
          <cell r="E2276">
            <v>5165.3100000000004</v>
          </cell>
          <cell r="F2276">
            <v>5165.3100000000004</v>
          </cell>
        </row>
        <row r="2277">
          <cell r="A2277">
            <v>45365</v>
          </cell>
          <cell r="B2277">
            <v>5175.1400000000003</v>
          </cell>
          <cell r="C2277">
            <v>5176.8500000000004</v>
          </cell>
          <cell r="D2277">
            <v>5123.3</v>
          </cell>
          <cell r="E2277">
            <v>5150.4799999999996</v>
          </cell>
          <cell r="F2277">
            <v>5150.4799999999996</v>
          </cell>
        </row>
        <row r="2278">
          <cell r="A2278">
            <v>45366</v>
          </cell>
          <cell r="B2278">
            <v>5123.3100000000004</v>
          </cell>
          <cell r="C2278">
            <v>5136.8599999999997</v>
          </cell>
          <cell r="D2278">
            <v>5104.3500000000004</v>
          </cell>
          <cell r="E2278">
            <v>5117.09</v>
          </cell>
          <cell r="F2278">
            <v>5117.09</v>
          </cell>
        </row>
        <row r="2279">
          <cell r="A2279">
            <v>45369</v>
          </cell>
          <cell r="B2279">
            <v>5154.7700000000004</v>
          </cell>
          <cell r="C2279">
            <v>5175.6000000000004</v>
          </cell>
          <cell r="D2279">
            <v>5145.47</v>
          </cell>
          <cell r="E2279">
            <v>5149.42</v>
          </cell>
          <cell r="F2279">
            <v>5149.42</v>
          </cell>
        </row>
        <row r="2280">
          <cell r="A2280">
            <v>45370</v>
          </cell>
          <cell r="B2280">
            <v>5139.09</v>
          </cell>
          <cell r="C2280">
            <v>5180.3100000000004</v>
          </cell>
          <cell r="D2280">
            <v>5131.59</v>
          </cell>
          <cell r="E2280">
            <v>5178.51</v>
          </cell>
          <cell r="F2280">
            <v>5178.51</v>
          </cell>
        </row>
        <row r="2281">
          <cell r="A2281">
            <v>45371</v>
          </cell>
          <cell r="B2281">
            <v>5181.6899999999996</v>
          </cell>
          <cell r="C2281">
            <v>5226.1899999999996</v>
          </cell>
          <cell r="D2281">
            <v>5171.55</v>
          </cell>
          <cell r="E2281">
            <v>5224.62</v>
          </cell>
          <cell r="F2281">
            <v>5224.62</v>
          </cell>
        </row>
        <row r="2282">
          <cell r="A2282">
            <v>45372</v>
          </cell>
          <cell r="B2282">
            <v>5253.43</v>
          </cell>
          <cell r="C2282">
            <v>5261.1</v>
          </cell>
          <cell r="D2282">
            <v>5240.66</v>
          </cell>
          <cell r="E2282">
            <v>5241.53</v>
          </cell>
          <cell r="F2282">
            <v>5241.53</v>
          </cell>
        </row>
        <row r="2283">
          <cell r="A2283">
            <v>45373</v>
          </cell>
          <cell r="B2283">
            <v>5242.4799999999996</v>
          </cell>
          <cell r="C2283">
            <v>5246.09</v>
          </cell>
          <cell r="D2283">
            <v>5229.87</v>
          </cell>
          <cell r="E2283">
            <v>5234.18</v>
          </cell>
          <cell r="F2283">
            <v>5234.18</v>
          </cell>
        </row>
        <row r="2284">
          <cell r="A2284">
            <v>45376</v>
          </cell>
          <cell r="B2284">
            <v>5219.5200000000004</v>
          </cell>
          <cell r="C2284">
            <v>5229.09</v>
          </cell>
          <cell r="D2284">
            <v>5216.09</v>
          </cell>
          <cell r="E2284">
            <v>5218.1899999999996</v>
          </cell>
          <cell r="F2284">
            <v>5218.1899999999996</v>
          </cell>
        </row>
        <row r="2285">
          <cell r="A2285">
            <v>45377</v>
          </cell>
          <cell r="B2285">
            <v>5228.8500000000004</v>
          </cell>
          <cell r="C2285">
            <v>5235.16</v>
          </cell>
          <cell r="D2285">
            <v>5203.42</v>
          </cell>
          <cell r="E2285">
            <v>5203.58</v>
          </cell>
          <cell r="F2285">
            <v>5203.58</v>
          </cell>
        </row>
        <row r="2286">
          <cell r="A2286">
            <v>45378</v>
          </cell>
          <cell r="B2286">
            <v>5226.3100000000004</v>
          </cell>
          <cell r="C2286">
            <v>5249.26</v>
          </cell>
          <cell r="D2286">
            <v>5213.92</v>
          </cell>
          <cell r="E2286">
            <v>5248.49</v>
          </cell>
          <cell r="F2286">
            <v>5248.49</v>
          </cell>
        </row>
        <row r="2287">
          <cell r="A2287">
            <v>45379</v>
          </cell>
          <cell r="B2287">
            <v>5248.03</v>
          </cell>
          <cell r="C2287">
            <v>5264.85</v>
          </cell>
          <cell r="D2287">
            <v>5245.82</v>
          </cell>
          <cell r="E2287">
            <v>5254.35</v>
          </cell>
          <cell r="F2287">
            <v>5254.35</v>
          </cell>
        </row>
        <row r="2288">
          <cell r="A2288">
            <v>45383</v>
          </cell>
          <cell r="B2288">
            <v>5257.97</v>
          </cell>
          <cell r="C2288">
            <v>5263.95</v>
          </cell>
          <cell r="D2288">
            <v>5229.2</v>
          </cell>
          <cell r="E2288">
            <v>5243.77</v>
          </cell>
          <cell r="F2288">
            <v>5243.77</v>
          </cell>
        </row>
        <row r="2289">
          <cell r="A2289">
            <v>45384</v>
          </cell>
          <cell r="B2289">
            <v>5204.29</v>
          </cell>
          <cell r="C2289">
            <v>5208.34</v>
          </cell>
          <cell r="D2289">
            <v>5184.05</v>
          </cell>
          <cell r="E2289">
            <v>5205.8100000000004</v>
          </cell>
          <cell r="F2289">
            <v>5205.8100000000004</v>
          </cell>
        </row>
        <row r="2290">
          <cell r="A2290">
            <v>45385</v>
          </cell>
          <cell r="B2290">
            <v>5194.37</v>
          </cell>
          <cell r="C2290">
            <v>5228.75</v>
          </cell>
          <cell r="D2290">
            <v>5194.37</v>
          </cell>
          <cell r="E2290">
            <v>5211.49</v>
          </cell>
          <cell r="F2290">
            <v>5211.49</v>
          </cell>
        </row>
        <row r="2291">
          <cell r="A2291">
            <v>45386</v>
          </cell>
          <cell r="B2291">
            <v>5244.05</v>
          </cell>
          <cell r="C2291">
            <v>5256.59</v>
          </cell>
          <cell r="D2291">
            <v>5146.0600000000004</v>
          </cell>
          <cell r="E2291">
            <v>5147.21</v>
          </cell>
          <cell r="F2291">
            <v>5147.21</v>
          </cell>
        </row>
        <row r="2292">
          <cell r="A2292">
            <v>45387</v>
          </cell>
          <cell r="B2292">
            <v>5158.95</v>
          </cell>
          <cell r="C2292">
            <v>5222.18</v>
          </cell>
          <cell r="D2292">
            <v>5157.21</v>
          </cell>
          <cell r="E2292">
            <v>5204.34</v>
          </cell>
          <cell r="F2292">
            <v>5204.34</v>
          </cell>
        </row>
        <row r="2293">
          <cell r="A2293">
            <v>45390</v>
          </cell>
          <cell r="B2293">
            <v>5211.37</v>
          </cell>
          <cell r="C2293">
            <v>5219.57</v>
          </cell>
          <cell r="D2293">
            <v>5197.3500000000004</v>
          </cell>
          <cell r="E2293">
            <v>5202.3900000000003</v>
          </cell>
          <cell r="F2293">
            <v>5202.3900000000003</v>
          </cell>
        </row>
        <row r="2294">
          <cell r="A2294">
            <v>45391</v>
          </cell>
          <cell r="B2294">
            <v>5217.03</v>
          </cell>
          <cell r="C2294">
            <v>5224.8100000000004</v>
          </cell>
          <cell r="D2294">
            <v>5160.78</v>
          </cell>
          <cell r="E2294">
            <v>5209.91</v>
          </cell>
          <cell r="F2294">
            <v>5209.91</v>
          </cell>
        </row>
        <row r="2295">
          <cell r="A2295">
            <v>45392</v>
          </cell>
          <cell r="B2295">
            <v>5167.88</v>
          </cell>
          <cell r="C2295">
            <v>5178.43</v>
          </cell>
          <cell r="D2295">
            <v>5138.7</v>
          </cell>
          <cell r="E2295">
            <v>5160.6400000000003</v>
          </cell>
          <cell r="F2295">
            <v>5160.6400000000003</v>
          </cell>
        </row>
        <row r="2296">
          <cell r="A2296">
            <v>45393</v>
          </cell>
          <cell r="B2296">
            <v>5172.95</v>
          </cell>
          <cell r="C2296">
            <v>5211.78</v>
          </cell>
          <cell r="D2296">
            <v>5138.7700000000004</v>
          </cell>
          <cell r="E2296">
            <v>5199.0600000000004</v>
          </cell>
          <cell r="F2296">
            <v>5199.0600000000004</v>
          </cell>
        </row>
        <row r="2297">
          <cell r="A2297">
            <v>45394</v>
          </cell>
          <cell r="B2297">
            <v>5171.51</v>
          </cell>
          <cell r="C2297">
            <v>5175.03</v>
          </cell>
          <cell r="D2297">
            <v>5107.9399999999996</v>
          </cell>
          <cell r="E2297">
            <v>5123.41</v>
          </cell>
          <cell r="F2297">
            <v>5123.41</v>
          </cell>
        </row>
        <row r="2298">
          <cell r="A2298">
            <v>45397</v>
          </cell>
          <cell r="B2298">
            <v>5149.67</v>
          </cell>
          <cell r="C2298">
            <v>5168.43</v>
          </cell>
          <cell r="D2298">
            <v>5052.47</v>
          </cell>
          <cell r="E2298">
            <v>5061.82</v>
          </cell>
          <cell r="F2298">
            <v>5061.82</v>
          </cell>
        </row>
        <row r="2299">
          <cell r="A2299">
            <v>45398</v>
          </cell>
          <cell r="B2299">
            <v>5064.59</v>
          </cell>
          <cell r="C2299">
            <v>5079.84</v>
          </cell>
          <cell r="D2299">
            <v>5039.83</v>
          </cell>
          <cell r="E2299">
            <v>5051.41</v>
          </cell>
          <cell r="F2299">
            <v>5051.41</v>
          </cell>
        </row>
        <row r="2300">
          <cell r="A2300">
            <v>45399</v>
          </cell>
          <cell r="B2300">
            <v>5068.97</v>
          </cell>
          <cell r="C2300">
            <v>5077.96</v>
          </cell>
          <cell r="D2300">
            <v>5007.25</v>
          </cell>
          <cell r="E2300">
            <v>5022.21</v>
          </cell>
          <cell r="F2300">
            <v>5022.21</v>
          </cell>
        </row>
        <row r="2301">
          <cell r="A2301">
            <v>45400</v>
          </cell>
          <cell r="B2301">
            <v>5031.5200000000004</v>
          </cell>
          <cell r="C2301">
            <v>5056.66</v>
          </cell>
          <cell r="D2301">
            <v>5001.8900000000003</v>
          </cell>
          <cell r="E2301">
            <v>5011.12</v>
          </cell>
          <cell r="F2301">
            <v>5011.12</v>
          </cell>
        </row>
        <row r="2302">
          <cell r="A2302">
            <v>45401</v>
          </cell>
          <cell r="B2302">
            <v>5005.4399999999996</v>
          </cell>
          <cell r="C2302">
            <v>5019.0200000000004</v>
          </cell>
          <cell r="D2302">
            <v>4953.5600000000004</v>
          </cell>
          <cell r="E2302">
            <v>4967.2299999999996</v>
          </cell>
          <cell r="F2302">
            <v>4967.2299999999996</v>
          </cell>
        </row>
        <row r="2303">
          <cell r="A2303">
            <v>45404</v>
          </cell>
          <cell r="B2303">
            <v>4987.33</v>
          </cell>
          <cell r="C2303">
            <v>5038.84</v>
          </cell>
          <cell r="D2303">
            <v>4969.3999999999996</v>
          </cell>
          <cell r="E2303">
            <v>5010.6000000000004</v>
          </cell>
          <cell r="F2303">
            <v>5010.6000000000004</v>
          </cell>
        </row>
        <row r="2304">
          <cell r="A2304">
            <v>45405</v>
          </cell>
          <cell r="B2304">
            <v>5028.8500000000004</v>
          </cell>
          <cell r="C2304">
            <v>5076.12</v>
          </cell>
          <cell r="D2304">
            <v>5027.96</v>
          </cell>
          <cell r="E2304">
            <v>5070.55</v>
          </cell>
          <cell r="F2304">
            <v>5070.55</v>
          </cell>
        </row>
        <row r="2305">
          <cell r="A2305">
            <v>45406</v>
          </cell>
          <cell r="B2305">
            <v>5084.8599999999997</v>
          </cell>
          <cell r="C2305">
            <v>5089.4799999999996</v>
          </cell>
          <cell r="D2305">
            <v>5047.0200000000004</v>
          </cell>
          <cell r="E2305">
            <v>5071.63</v>
          </cell>
          <cell r="F2305">
            <v>5071.63</v>
          </cell>
        </row>
        <row r="2306">
          <cell r="A2306">
            <v>45407</v>
          </cell>
          <cell r="B2306">
            <v>5019.88</v>
          </cell>
          <cell r="C2306">
            <v>5057.75</v>
          </cell>
          <cell r="D2306">
            <v>4990.58</v>
          </cell>
          <cell r="E2306">
            <v>5048.42</v>
          </cell>
          <cell r="F2306">
            <v>5048.42</v>
          </cell>
        </row>
        <row r="2307">
          <cell r="A2307">
            <v>45408</v>
          </cell>
          <cell r="B2307">
            <v>5084.6499999999996</v>
          </cell>
          <cell r="C2307">
            <v>5114.62</v>
          </cell>
          <cell r="D2307">
            <v>5073.1400000000003</v>
          </cell>
          <cell r="E2307">
            <v>5099.96</v>
          </cell>
          <cell r="F2307">
            <v>5099.96</v>
          </cell>
        </row>
        <row r="2308">
          <cell r="A2308">
            <v>45411</v>
          </cell>
          <cell r="B2308">
            <v>5114.13</v>
          </cell>
          <cell r="C2308">
            <v>5123.49</v>
          </cell>
          <cell r="D2308">
            <v>5088.6499999999996</v>
          </cell>
          <cell r="E2308">
            <v>5116.17</v>
          </cell>
          <cell r="F2308">
            <v>5116.17</v>
          </cell>
        </row>
        <row r="2309">
          <cell r="A2309">
            <v>45412</v>
          </cell>
          <cell r="B2309">
            <v>5103.78</v>
          </cell>
          <cell r="C2309">
            <v>5110.83</v>
          </cell>
          <cell r="D2309">
            <v>5035.3100000000004</v>
          </cell>
          <cell r="E2309">
            <v>5035.6899999999996</v>
          </cell>
          <cell r="F2309">
            <v>5035.6899999999996</v>
          </cell>
        </row>
        <row r="2310">
          <cell r="A2310">
            <v>45413</v>
          </cell>
          <cell r="B2310">
            <v>5029.03</v>
          </cell>
          <cell r="C2310">
            <v>5096.12</v>
          </cell>
          <cell r="D2310">
            <v>5013.45</v>
          </cell>
          <cell r="E2310">
            <v>5018.3900000000003</v>
          </cell>
          <cell r="F2310">
            <v>5018.3900000000003</v>
          </cell>
        </row>
        <row r="2311">
          <cell r="A2311">
            <v>45414</v>
          </cell>
          <cell r="B2311">
            <v>5049.32</v>
          </cell>
          <cell r="C2311">
            <v>5073.21</v>
          </cell>
          <cell r="D2311">
            <v>5011.05</v>
          </cell>
          <cell r="E2311">
            <v>5064.2</v>
          </cell>
          <cell r="F2311">
            <v>5064.2</v>
          </cell>
        </row>
        <row r="2312">
          <cell r="A2312">
            <v>45415</v>
          </cell>
          <cell r="B2312">
            <v>5122.78</v>
          </cell>
          <cell r="C2312">
            <v>5139.12</v>
          </cell>
          <cell r="D2312">
            <v>5101.22</v>
          </cell>
          <cell r="E2312">
            <v>5127.79</v>
          </cell>
          <cell r="F2312">
            <v>5127.79</v>
          </cell>
        </row>
        <row r="2313">
          <cell r="A2313">
            <v>45418</v>
          </cell>
          <cell r="B2313">
            <v>5142.42</v>
          </cell>
          <cell r="C2313">
            <v>5181</v>
          </cell>
          <cell r="D2313">
            <v>5142.42</v>
          </cell>
          <cell r="E2313">
            <v>5180.74</v>
          </cell>
          <cell r="F2313">
            <v>5180.74</v>
          </cell>
        </row>
        <row r="2314">
          <cell r="A2314">
            <v>45419</v>
          </cell>
          <cell r="B2314">
            <v>5187.2</v>
          </cell>
          <cell r="C2314">
            <v>5200.2299999999996</v>
          </cell>
          <cell r="D2314">
            <v>5178.96</v>
          </cell>
          <cell r="E2314">
            <v>5187.7</v>
          </cell>
          <cell r="F2314">
            <v>5187.7</v>
          </cell>
        </row>
        <row r="2315">
          <cell r="A2315">
            <v>45420</v>
          </cell>
          <cell r="B2315">
            <v>5168.9799999999996</v>
          </cell>
          <cell r="C2315">
            <v>5191.95</v>
          </cell>
          <cell r="D2315">
            <v>5165.8599999999997</v>
          </cell>
          <cell r="E2315">
            <v>5187.67</v>
          </cell>
          <cell r="F2315">
            <v>5187.67</v>
          </cell>
        </row>
        <row r="2316">
          <cell r="A2316">
            <v>45421</v>
          </cell>
          <cell r="B2316">
            <v>5189.03</v>
          </cell>
          <cell r="C2316">
            <v>5215.3</v>
          </cell>
          <cell r="D2316">
            <v>5180.41</v>
          </cell>
          <cell r="E2316">
            <v>5214.08</v>
          </cell>
          <cell r="F2316">
            <v>5214.08</v>
          </cell>
        </row>
        <row r="2317">
          <cell r="A2317">
            <v>45422</v>
          </cell>
          <cell r="B2317">
            <v>5225.49</v>
          </cell>
          <cell r="C2317">
            <v>5239.66</v>
          </cell>
          <cell r="D2317">
            <v>5209.68</v>
          </cell>
          <cell r="E2317">
            <v>5222.68</v>
          </cell>
          <cell r="F2317">
            <v>5222.68</v>
          </cell>
        </row>
        <row r="2318">
          <cell r="A2318">
            <v>45425</v>
          </cell>
          <cell r="B2318">
            <v>5233.08</v>
          </cell>
          <cell r="C2318">
            <v>5237.26</v>
          </cell>
          <cell r="D2318">
            <v>5211.16</v>
          </cell>
          <cell r="E2318">
            <v>5221.42</v>
          </cell>
          <cell r="F2318">
            <v>5221.42</v>
          </cell>
        </row>
        <row r="2319">
          <cell r="A2319">
            <v>45426</v>
          </cell>
          <cell r="B2319">
            <v>5221.1000000000004</v>
          </cell>
          <cell r="C2319">
            <v>5250.37</v>
          </cell>
          <cell r="D2319">
            <v>5217.9799999999996</v>
          </cell>
          <cell r="E2319">
            <v>5246.68</v>
          </cell>
          <cell r="F2319">
            <v>5246.68</v>
          </cell>
        </row>
        <row r="2320">
          <cell r="A2320">
            <v>45427</v>
          </cell>
          <cell r="B2320">
            <v>5263.26</v>
          </cell>
          <cell r="C2320">
            <v>5311.76</v>
          </cell>
          <cell r="D2320">
            <v>5263.26</v>
          </cell>
          <cell r="E2320">
            <v>5308.15</v>
          </cell>
          <cell r="F2320">
            <v>5308.15</v>
          </cell>
        </row>
        <row r="2321">
          <cell r="A2321">
            <v>45428</v>
          </cell>
          <cell r="B2321">
            <v>5310.07</v>
          </cell>
          <cell r="C2321">
            <v>5325.49</v>
          </cell>
          <cell r="D2321">
            <v>5296.19</v>
          </cell>
          <cell r="E2321">
            <v>5297.1</v>
          </cell>
          <cell r="F2321">
            <v>5297.1</v>
          </cell>
        </row>
        <row r="2322">
          <cell r="A2322">
            <v>45429</v>
          </cell>
          <cell r="B2322">
            <v>5303.1</v>
          </cell>
          <cell r="C2322">
            <v>5305.45</v>
          </cell>
          <cell r="D2322">
            <v>5283.59</v>
          </cell>
          <cell r="E2322">
            <v>5303.27</v>
          </cell>
          <cell r="F2322">
            <v>5303.27</v>
          </cell>
        </row>
        <row r="2323">
          <cell r="A2323">
            <v>45432</v>
          </cell>
          <cell r="B2323">
            <v>5305.35</v>
          </cell>
          <cell r="C2323">
            <v>5325.32</v>
          </cell>
          <cell r="D2323">
            <v>5302.4</v>
          </cell>
          <cell r="E2323">
            <v>5308.13</v>
          </cell>
          <cell r="F2323">
            <v>5308.13</v>
          </cell>
        </row>
        <row r="2324">
          <cell r="A2324">
            <v>45433</v>
          </cell>
          <cell r="B2324">
            <v>5298.69</v>
          </cell>
          <cell r="C2324">
            <v>5324.32</v>
          </cell>
          <cell r="D2324">
            <v>5297.87</v>
          </cell>
          <cell r="E2324">
            <v>5321.41</v>
          </cell>
          <cell r="F2324">
            <v>5321.41</v>
          </cell>
        </row>
        <row r="2325">
          <cell r="A2325">
            <v>45434</v>
          </cell>
          <cell r="B2325">
            <v>5319.28</v>
          </cell>
          <cell r="C2325">
            <v>5323.18</v>
          </cell>
          <cell r="D2325">
            <v>5286.01</v>
          </cell>
          <cell r="E2325">
            <v>5307.01</v>
          </cell>
          <cell r="F2325">
            <v>5307.01</v>
          </cell>
        </row>
        <row r="2326">
          <cell r="A2326">
            <v>45435</v>
          </cell>
          <cell r="B2326">
            <v>5340.26</v>
          </cell>
          <cell r="C2326">
            <v>5341.88</v>
          </cell>
          <cell r="D2326">
            <v>5256.93</v>
          </cell>
          <cell r="E2326">
            <v>5267.84</v>
          </cell>
          <cell r="F2326">
            <v>5267.84</v>
          </cell>
        </row>
        <row r="2327">
          <cell r="A2327">
            <v>45436</v>
          </cell>
          <cell r="B2327">
            <v>5281.45</v>
          </cell>
          <cell r="C2327">
            <v>5311.65</v>
          </cell>
          <cell r="D2327">
            <v>5278.39</v>
          </cell>
          <cell r="E2327">
            <v>5304.72</v>
          </cell>
          <cell r="F2327">
            <v>5304.72</v>
          </cell>
        </row>
        <row r="2328">
          <cell r="A2328">
            <v>45440</v>
          </cell>
          <cell r="B2328">
            <v>5315.91</v>
          </cell>
          <cell r="C2328">
            <v>5315.91</v>
          </cell>
          <cell r="D2328">
            <v>5280.89</v>
          </cell>
          <cell r="E2328">
            <v>5306.04</v>
          </cell>
          <cell r="F2328">
            <v>5306.04</v>
          </cell>
        </row>
        <row r="2329">
          <cell r="A2329">
            <v>45441</v>
          </cell>
          <cell r="B2329">
            <v>5278.73</v>
          </cell>
          <cell r="C2329">
            <v>5282.27</v>
          </cell>
          <cell r="D2329">
            <v>5262.7</v>
          </cell>
          <cell r="E2329">
            <v>5266.95</v>
          </cell>
          <cell r="F2329">
            <v>5266.95</v>
          </cell>
        </row>
        <row r="2330">
          <cell r="A2330">
            <v>45442</v>
          </cell>
          <cell r="B2330">
            <v>5259.77</v>
          </cell>
          <cell r="C2330">
            <v>5260.21</v>
          </cell>
          <cell r="D2330">
            <v>5222.1000000000004</v>
          </cell>
          <cell r="E2330">
            <v>5235.4799999999996</v>
          </cell>
          <cell r="F2330">
            <v>5235.4799999999996</v>
          </cell>
        </row>
        <row r="2331">
          <cell r="A2331">
            <v>45443</v>
          </cell>
          <cell r="B2331">
            <v>5243.21</v>
          </cell>
          <cell r="C2331">
            <v>5280.33</v>
          </cell>
          <cell r="D2331">
            <v>5191.68</v>
          </cell>
          <cell r="E2331">
            <v>5277.51</v>
          </cell>
          <cell r="F2331">
            <v>5277.51</v>
          </cell>
        </row>
        <row r="2332">
          <cell r="A2332">
            <v>45446</v>
          </cell>
          <cell r="B2332">
            <v>5297.15</v>
          </cell>
          <cell r="C2332">
            <v>5302.11</v>
          </cell>
          <cell r="D2332">
            <v>5234.32</v>
          </cell>
          <cell r="E2332">
            <v>5283.4</v>
          </cell>
          <cell r="F2332">
            <v>5283.4</v>
          </cell>
        </row>
        <row r="2333">
          <cell r="A2333">
            <v>45447</v>
          </cell>
          <cell r="B2333">
            <v>5278.24</v>
          </cell>
          <cell r="C2333">
            <v>5298.8</v>
          </cell>
          <cell r="D2333">
            <v>5257.63</v>
          </cell>
          <cell r="E2333">
            <v>5291.34</v>
          </cell>
          <cell r="F2333">
            <v>5291.34</v>
          </cell>
        </row>
        <row r="2334">
          <cell r="A2334">
            <v>45448</v>
          </cell>
          <cell r="B2334">
            <v>5314.48</v>
          </cell>
          <cell r="C2334">
            <v>5354.16</v>
          </cell>
          <cell r="D2334">
            <v>5297.64</v>
          </cell>
          <cell r="E2334">
            <v>5354.03</v>
          </cell>
          <cell r="F2334">
            <v>5354.03</v>
          </cell>
        </row>
        <row r="2335">
          <cell r="A2335">
            <v>45449</v>
          </cell>
          <cell r="B2335">
            <v>5357.8</v>
          </cell>
          <cell r="C2335">
            <v>5362.35</v>
          </cell>
          <cell r="D2335">
            <v>5335.36</v>
          </cell>
          <cell r="E2335">
            <v>5352.96</v>
          </cell>
          <cell r="F2335">
            <v>5352.96</v>
          </cell>
        </row>
        <row r="2336">
          <cell r="A2336">
            <v>45450</v>
          </cell>
          <cell r="B2336">
            <v>5343.81</v>
          </cell>
          <cell r="C2336">
            <v>5375.08</v>
          </cell>
          <cell r="D2336">
            <v>5331.33</v>
          </cell>
          <cell r="E2336">
            <v>5346.99</v>
          </cell>
          <cell r="F2336">
            <v>5346.99</v>
          </cell>
        </row>
        <row r="2337">
          <cell r="A2337">
            <v>45453</v>
          </cell>
          <cell r="B2337">
            <v>5341.22</v>
          </cell>
          <cell r="C2337">
            <v>5365.79</v>
          </cell>
          <cell r="D2337">
            <v>5331.52</v>
          </cell>
          <cell r="E2337">
            <v>5360.79</v>
          </cell>
          <cell r="F2337">
            <v>5360.79</v>
          </cell>
        </row>
        <row r="2338">
          <cell r="A2338">
            <v>45454</v>
          </cell>
          <cell r="B2338">
            <v>5353</v>
          </cell>
          <cell r="C2338">
            <v>5375.95</v>
          </cell>
          <cell r="D2338">
            <v>5327.25</v>
          </cell>
          <cell r="E2338">
            <v>5375.32</v>
          </cell>
          <cell r="F2338">
            <v>5375.32</v>
          </cell>
        </row>
        <row r="2339">
          <cell r="A2339">
            <v>45455</v>
          </cell>
          <cell r="B2339">
            <v>5409.13</v>
          </cell>
          <cell r="C2339">
            <v>5447.25</v>
          </cell>
          <cell r="D2339">
            <v>5409.13</v>
          </cell>
          <cell r="E2339">
            <v>5421.03</v>
          </cell>
          <cell r="F2339">
            <v>5421.03</v>
          </cell>
        </row>
        <row r="2340">
          <cell r="A2340">
            <v>45456</v>
          </cell>
          <cell r="B2340">
            <v>5441.93</v>
          </cell>
          <cell r="C2340">
            <v>5441.93</v>
          </cell>
          <cell r="D2340">
            <v>5402.51</v>
          </cell>
          <cell r="E2340">
            <v>5433.74</v>
          </cell>
          <cell r="F2340">
            <v>5433.74</v>
          </cell>
        </row>
        <row r="2341">
          <cell r="A2341">
            <v>45457</v>
          </cell>
          <cell r="B2341">
            <v>5424.08</v>
          </cell>
          <cell r="C2341">
            <v>5432.39</v>
          </cell>
          <cell r="D2341">
            <v>5403.75</v>
          </cell>
          <cell r="E2341">
            <v>5431.6</v>
          </cell>
          <cell r="F2341">
            <v>5431.6</v>
          </cell>
        </row>
        <row r="2342">
          <cell r="A2342">
            <v>45460</v>
          </cell>
          <cell r="B2342">
            <v>5431.11</v>
          </cell>
          <cell r="C2342">
            <v>5488.5</v>
          </cell>
          <cell r="D2342">
            <v>5420.4</v>
          </cell>
          <cell r="E2342">
            <v>5473.23</v>
          </cell>
          <cell r="F2342">
            <v>5473.23</v>
          </cell>
        </row>
        <row r="2343">
          <cell r="A2343">
            <v>45461</v>
          </cell>
          <cell r="B2343">
            <v>5476.15</v>
          </cell>
          <cell r="C2343">
            <v>5490.38</v>
          </cell>
          <cell r="D2343">
            <v>5471.32</v>
          </cell>
          <cell r="E2343">
            <v>5487.03</v>
          </cell>
          <cell r="F2343">
            <v>5487.03</v>
          </cell>
        </row>
        <row r="2344">
          <cell r="A2344">
            <v>45463</v>
          </cell>
          <cell r="B2344">
            <v>5499.99</v>
          </cell>
          <cell r="C2344">
            <v>5505.53</v>
          </cell>
          <cell r="D2344">
            <v>5455.56</v>
          </cell>
          <cell r="E2344">
            <v>5473.17</v>
          </cell>
          <cell r="F2344">
            <v>5473.17</v>
          </cell>
        </row>
        <row r="2345">
          <cell r="A2345">
            <v>45464</v>
          </cell>
          <cell r="B2345">
            <v>5466.77</v>
          </cell>
          <cell r="C2345">
            <v>5478.31</v>
          </cell>
          <cell r="D2345">
            <v>5452.03</v>
          </cell>
          <cell r="E2345">
            <v>5464.62</v>
          </cell>
          <cell r="F2345">
            <v>5464.62</v>
          </cell>
        </row>
        <row r="2346">
          <cell r="A2346">
            <v>45467</v>
          </cell>
          <cell r="B2346">
            <v>5459.58</v>
          </cell>
          <cell r="C2346">
            <v>5490.66</v>
          </cell>
          <cell r="D2346">
            <v>5447.59</v>
          </cell>
          <cell r="E2346">
            <v>5447.87</v>
          </cell>
          <cell r="F2346">
            <v>5447.87</v>
          </cell>
        </row>
        <row r="2347">
          <cell r="A2347">
            <v>45468</v>
          </cell>
          <cell r="B2347">
            <v>5460.73</v>
          </cell>
          <cell r="C2347">
            <v>5472.88</v>
          </cell>
          <cell r="D2347">
            <v>5446.56</v>
          </cell>
          <cell r="E2347">
            <v>5469.3</v>
          </cell>
          <cell r="F2347">
            <v>5469.3</v>
          </cell>
        </row>
        <row r="2348">
          <cell r="A2348">
            <v>45469</v>
          </cell>
          <cell r="B2348">
            <v>5460.71</v>
          </cell>
          <cell r="C2348">
            <v>5483.14</v>
          </cell>
          <cell r="D2348">
            <v>5451.87</v>
          </cell>
          <cell r="E2348">
            <v>5477.9</v>
          </cell>
          <cell r="F2348">
            <v>5477.9</v>
          </cell>
        </row>
        <row r="2349">
          <cell r="A2349">
            <v>45470</v>
          </cell>
          <cell r="B2349">
            <v>5473.59</v>
          </cell>
          <cell r="C2349">
            <v>5490.81</v>
          </cell>
          <cell r="D2349">
            <v>5467.54</v>
          </cell>
          <cell r="E2349">
            <v>5482.87</v>
          </cell>
          <cell r="F2349">
            <v>5482.87</v>
          </cell>
        </row>
        <row r="2350">
          <cell r="A2350">
            <v>45471</v>
          </cell>
          <cell r="B2350">
            <v>5488.48</v>
          </cell>
          <cell r="C2350">
            <v>5523.64</v>
          </cell>
          <cell r="D2350">
            <v>5451.12</v>
          </cell>
          <cell r="E2350">
            <v>5460.48</v>
          </cell>
          <cell r="F2350">
            <v>5460.48</v>
          </cell>
        </row>
        <row r="2351">
          <cell r="A2351">
            <v>45474</v>
          </cell>
          <cell r="B2351">
            <v>5471.08</v>
          </cell>
          <cell r="C2351">
            <v>5479.55</v>
          </cell>
          <cell r="D2351">
            <v>5446.53</v>
          </cell>
          <cell r="E2351">
            <v>5475.09</v>
          </cell>
          <cell r="F2351">
            <v>5475.09</v>
          </cell>
        </row>
        <row r="2352">
          <cell r="A2352">
            <v>45475</v>
          </cell>
          <cell r="B2352">
            <v>5461.84</v>
          </cell>
          <cell r="C2352">
            <v>5509.69</v>
          </cell>
          <cell r="D2352">
            <v>5458.43</v>
          </cell>
          <cell r="E2352">
            <v>5509.01</v>
          </cell>
          <cell r="F2352">
            <v>5509.01</v>
          </cell>
        </row>
        <row r="2353">
          <cell r="A2353">
            <v>45476</v>
          </cell>
          <cell r="B2353">
            <v>5507.44</v>
          </cell>
          <cell r="C2353">
            <v>5539.27</v>
          </cell>
          <cell r="D2353">
            <v>5507.42</v>
          </cell>
          <cell r="E2353">
            <v>5537.02</v>
          </cell>
          <cell r="F2353">
            <v>5537.02</v>
          </cell>
        </row>
        <row r="2354">
          <cell r="A2354">
            <v>45478</v>
          </cell>
          <cell r="B2354">
            <v>5537.91</v>
          </cell>
          <cell r="C2354">
            <v>5570.33</v>
          </cell>
          <cell r="D2354">
            <v>5531.63</v>
          </cell>
          <cell r="E2354">
            <v>5567.19</v>
          </cell>
          <cell r="F2354">
            <v>5567.19</v>
          </cell>
        </row>
        <row r="2355">
          <cell r="A2355">
            <v>45481</v>
          </cell>
          <cell r="B2355">
            <v>5572.75</v>
          </cell>
          <cell r="C2355">
            <v>5583.11</v>
          </cell>
          <cell r="D2355">
            <v>5562.51</v>
          </cell>
          <cell r="E2355">
            <v>5572.85</v>
          </cell>
          <cell r="F2355">
            <v>5572.85</v>
          </cell>
        </row>
        <row r="2356">
          <cell r="A2356">
            <v>45482</v>
          </cell>
          <cell r="B2356">
            <v>5584.24</v>
          </cell>
          <cell r="C2356">
            <v>5590.75</v>
          </cell>
          <cell r="D2356">
            <v>5574.57</v>
          </cell>
          <cell r="E2356">
            <v>5576.98</v>
          </cell>
          <cell r="F2356">
            <v>5576.98</v>
          </cell>
        </row>
        <row r="2357">
          <cell r="A2357">
            <v>45483</v>
          </cell>
          <cell r="B2357">
            <v>5591.26</v>
          </cell>
          <cell r="C2357">
            <v>5635.39</v>
          </cell>
          <cell r="D2357">
            <v>5586.44</v>
          </cell>
          <cell r="E2357">
            <v>5633.91</v>
          </cell>
          <cell r="F2357">
            <v>5633.91</v>
          </cell>
        </row>
        <row r="2358">
          <cell r="A2358">
            <v>45484</v>
          </cell>
          <cell r="B2358">
            <v>5635.21</v>
          </cell>
          <cell r="C2358">
            <v>5642.45</v>
          </cell>
          <cell r="D2358">
            <v>5576.53</v>
          </cell>
          <cell r="E2358">
            <v>5584.54</v>
          </cell>
          <cell r="F2358">
            <v>5584.54</v>
          </cell>
        </row>
        <row r="2359">
          <cell r="A2359">
            <v>45485</v>
          </cell>
          <cell r="B2359">
            <v>5590.76</v>
          </cell>
          <cell r="C2359">
            <v>5655.56</v>
          </cell>
          <cell r="D2359">
            <v>5590.44</v>
          </cell>
          <cell r="E2359">
            <v>5615.35</v>
          </cell>
          <cell r="F2359">
            <v>5615.35</v>
          </cell>
        </row>
        <row r="2360">
          <cell r="A2360">
            <v>45488</v>
          </cell>
          <cell r="B2360">
            <v>5638.16</v>
          </cell>
          <cell r="C2360">
            <v>5666.94</v>
          </cell>
          <cell r="D2360">
            <v>5614.75</v>
          </cell>
          <cell r="E2360">
            <v>5631.22</v>
          </cell>
          <cell r="F2360">
            <v>5631.22</v>
          </cell>
        </row>
        <row r="2361">
          <cell r="A2361">
            <v>45489</v>
          </cell>
          <cell r="B2361">
            <v>5644.09</v>
          </cell>
          <cell r="C2361">
            <v>5669.67</v>
          </cell>
          <cell r="D2361">
            <v>5639.02</v>
          </cell>
          <cell r="E2361">
            <v>5667.2</v>
          </cell>
          <cell r="F2361">
            <v>5667.2</v>
          </cell>
        </row>
        <row r="2362">
          <cell r="A2362">
            <v>45490</v>
          </cell>
          <cell r="B2362">
            <v>5610.07</v>
          </cell>
          <cell r="C2362">
            <v>5622.49</v>
          </cell>
          <cell r="D2362">
            <v>5584.81</v>
          </cell>
          <cell r="E2362">
            <v>5588.27</v>
          </cell>
          <cell r="F2362">
            <v>5588.27</v>
          </cell>
        </row>
        <row r="2363">
          <cell r="A2363">
            <v>45491</v>
          </cell>
          <cell r="B2363">
            <v>5608.56</v>
          </cell>
          <cell r="C2363">
            <v>5614.05</v>
          </cell>
          <cell r="D2363">
            <v>5522.81</v>
          </cell>
          <cell r="E2363">
            <v>5544.59</v>
          </cell>
          <cell r="F2363">
            <v>5544.59</v>
          </cell>
        </row>
        <row r="2364">
          <cell r="A2364">
            <v>45492</v>
          </cell>
          <cell r="B2364">
            <v>5543.37</v>
          </cell>
          <cell r="C2364">
            <v>5557.5</v>
          </cell>
          <cell r="D2364">
            <v>5497.04</v>
          </cell>
          <cell r="E2364">
            <v>5505</v>
          </cell>
          <cell r="F2364">
            <v>5505</v>
          </cell>
        </row>
        <row r="2365">
          <cell r="A2365">
            <v>45495</v>
          </cell>
          <cell r="B2365">
            <v>5544.54</v>
          </cell>
          <cell r="C2365">
            <v>5570.36</v>
          </cell>
          <cell r="D2365">
            <v>5529.04</v>
          </cell>
          <cell r="E2365">
            <v>5564.41</v>
          </cell>
          <cell r="F2365">
            <v>5564.41</v>
          </cell>
        </row>
        <row r="2366">
          <cell r="A2366">
            <v>45496</v>
          </cell>
          <cell r="B2366">
            <v>5565.3</v>
          </cell>
          <cell r="C2366">
            <v>5585.34</v>
          </cell>
          <cell r="D2366">
            <v>5550.9</v>
          </cell>
          <cell r="E2366">
            <v>5555.74</v>
          </cell>
          <cell r="F2366">
            <v>5555.74</v>
          </cell>
        </row>
        <row r="2367">
          <cell r="A2367">
            <v>45497</v>
          </cell>
          <cell r="B2367">
            <v>5505.84</v>
          </cell>
          <cell r="C2367">
            <v>5508.04</v>
          </cell>
          <cell r="D2367">
            <v>5419.98</v>
          </cell>
          <cell r="E2367">
            <v>5427.13</v>
          </cell>
          <cell r="F2367">
            <v>5427.13</v>
          </cell>
        </row>
        <row r="2368">
          <cell r="A2368">
            <v>45498</v>
          </cell>
          <cell r="B2368">
            <v>5428.7</v>
          </cell>
          <cell r="C2368">
            <v>5491.59</v>
          </cell>
          <cell r="D2368">
            <v>5390.95</v>
          </cell>
          <cell r="E2368">
            <v>5399.22</v>
          </cell>
          <cell r="F2368">
            <v>5399.22</v>
          </cell>
        </row>
        <row r="2369">
          <cell r="A2369">
            <v>45499</v>
          </cell>
          <cell r="B2369">
            <v>5433.67</v>
          </cell>
          <cell r="C2369">
            <v>5488.32</v>
          </cell>
          <cell r="D2369">
            <v>5430.7</v>
          </cell>
          <cell r="E2369">
            <v>5459.1</v>
          </cell>
          <cell r="F2369">
            <v>5459.1</v>
          </cell>
        </row>
        <row r="2370">
          <cell r="A2370">
            <v>45502</v>
          </cell>
          <cell r="B2370">
            <v>5476.55</v>
          </cell>
          <cell r="C2370">
            <v>5487.74</v>
          </cell>
          <cell r="D2370">
            <v>5444.44</v>
          </cell>
          <cell r="E2370">
            <v>5463.54</v>
          </cell>
          <cell r="F2370">
            <v>5463.54</v>
          </cell>
        </row>
        <row r="2371">
          <cell r="A2371">
            <v>45503</v>
          </cell>
          <cell r="B2371">
            <v>5478.73</v>
          </cell>
          <cell r="C2371">
            <v>5489.46</v>
          </cell>
          <cell r="D2371">
            <v>5401.7</v>
          </cell>
          <cell r="E2371">
            <v>5436.44</v>
          </cell>
          <cell r="F2371">
            <v>5436.44</v>
          </cell>
        </row>
        <row r="2372">
          <cell r="A2372">
            <v>45504</v>
          </cell>
          <cell r="B2372">
            <v>5505.59</v>
          </cell>
          <cell r="C2372">
            <v>5551.51</v>
          </cell>
          <cell r="D2372">
            <v>5493.75</v>
          </cell>
          <cell r="E2372">
            <v>5522.3</v>
          </cell>
          <cell r="F2372">
            <v>5522.3</v>
          </cell>
        </row>
        <row r="2373">
          <cell r="A2373">
            <v>45505</v>
          </cell>
          <cell r="B2373">
            <v>5537.84</v>
          </cell>
          <cell r="C2373">
            <v>5566.16</v>
          </cell>
          <cell r="D2373">
            <v>5410.42</v>
          </cell>
          <cell r="E2373">
            <v>5446.68</v>
          </cell>
          <cell r="F2373">
            <v>5446.68</v>
          </cell>
        </row>
        <row r="2374">
          <cell r="A2374">
            <v>45506</v>
          </cell>
          <cell r="B2374">
            <v>5376.63</v>
          </cell>
          <cell r="C2374">
            <v>5383.89</v>
          </cell>
          <cell r="D2374">
            <v>5302.03</v>
          </cell>
          <cell r="E2374">
            <v>5346.56</v>
          </cell>
          <cell r="F2374">
            <v>5346.56</v>
          </cell>
        </row>
        <row r="2375">
          <cell r="A2375">
            <v>45509</v>
          </cell>
          <cell r="B2375">
            <v>5151.1400000000003</v>
          </cell>
          <cell r="C2375">
            <v>5250.89</v>
          </cell>
          <cell r="D2375">
            <v>5119.26</v>
          </cell>
          <cell r="E2375">
            <v>5186.33</v>
          </cell>
          <cell r="F2375">
            <v>5186.33</v>
          </cell>
        </row>
        <row r="2376">
          <cell r="A2376">
            <v>45510</v>
          </cell>
          <cell r="B2376">
            <v>5206.42</v>
          </cell>
          <cell r="C2376">
            <v>5312.34</v>
          </cell>
          <cell r="D2376">
            <v>5193.5600000000004</v>
          </cell>
          <cell r="E2376">
            <v>5240.03</v>
          </cell>
          <cell r="F2376">
            <v>5240.03</v>
          </cell>
        </row>
        <row r="2377">
          <cell r="A2377">
            <v>45511</v>
          </cell>
          <cell r="B2377">
            <v>5293.13</v>
          </cell>
          <cell r="C2377">
            <v>5330.64</v>
          </cell>
          <cell r="D2377">
            <v>5195.54</v>
          </cell>
          <cell r="E2377">
            <v>5199.5</v>
          </cell>
          <cell r="F2377">
            <v>5199.5</v>
          </cell>
        </row>
        <row r="2378">
          <cell r="A2378">
            <v>45512</v>
          </cell>
          <cell r="B2378">
            <v>5252.57</v>
          </cell>
          <cell r="C2378">
            <v>5328.03</v>
          </cell>
          <cell r="D2378">
            <v>5233.8500000000004</v>
          </cell>
          <cell r="E2378">
            <v>5319.31</v>
          </cell>
          <cell r="F2378">
            <v>5319.31</v>
          </cell>
        </row>
        <row r="2379">
          <cell r="A2379">
            <v>45513</v>
          </cell>
          <cell r="B2379">
            <v>5314.66</v>
          </cell>
          <cell r="C2379">
            <v>5358.67</v>
          </cell>
          <cell r="D2379">
            <v>5300.84</v>
          </cell>
          <cell r="E2379">
            <v>5344.16</v>
          </cell>
          <cell r="F2379">
            <v>5344.16</v>
          </cell>
        </row>
        <row r="2380">
          <cell r="A2380">
            <v>45516</v>
          </cell>
          <cell r="B2380">
            <v>5351.88</v>
          </cell>
          <cell r="C2380">
            <v>5371.2</v>
          </cell>
          <cell r="D2380">
            <v>5324.37</v>
          </cell>
          <cell r="E2380">
            <v>5344.39</v>
          </cell>
          <cell r="F2380">
            <v>5344.39</v>
          </cell>
        </row>
        <row r="2381">
          <cell r="A2381">
            <v>45517</v>
          </cell>
          <cell r="B2381">
            <v>5376.98</v>
          </cell>
          <cell r="C2381">
            <v>5436.5</v>
          </cell>
          <cell r="D2381">
            <v>5376.98</v>
          </cell>
          <cell r="E2381">
            <v>5434.43</v>
          </cell>
          <cell r="F2381">
            <v>5434.43</v>
          </cell>
        </row>
        <row r="2382">
          <cell r="A2382">
            <v>45518</v>
          </cell>
          <cell r="B2382">
            <v>5442.36</v>
          </cell>
          <cell r="C2382">
            <v>5463.22</v>
          </cell>
          <cell r="D2382">
            <v>5415.91</v>
          </cell>
          <cell r="E2382">
            <v>5455.21</v>
          </cell>
          <cell r="F2382">
            <v>5455.21</v>
          </cell>
        </row>
        <row r="2383">
          <cell r="A2383">
            <v>45519</v>
          </cell>
          <cell r="B2383">
            <v>5501.13</v>
          </cell>
          <cell r="C2383">
            <v>5546.23</v>
          </cell>
          <cell r="D2383">
            <v>5501.13</v>
          </cell>
          <cell r="E2383">
            <v>5543.22</v>
          </cell>
          <cell r="F2383">
            <v>5543.22</v>
          </cell>
        </row>
        <row r="2384">
          <cell r="A2384">
            <v>45520</v>
          </cell>
          <cell r="B2384">
            <v>5530.5</v>
          </cell>
          <cell r="C2384">
            <v>5561.98</v>
          </cell>
          <cell r="D2384">
            <v>5525.17</v>
          </cell>
          <cell r="E2384">
            <v>5554.25</v>
          </cell>
          <cell r="F2384">
            <v>5554.25</v>
          </cell>
        </row>
        <row r="2385">
          <cell r="A2385">
            <v>45523</v>
          </cell>
          <cell r="B2385">
            <v>5557.23</v>
          </cell>
          <cell r="C2385">
            <v>5608.3</v>
          </cell>
          <cell r="D2385">
            <v>5550.74</v>
          </cell>
          <cell r="E2385">
            <v>5608.25</v>
          </cell>
          <cell r="F2385">
            <v>5608.25</v>
          </cell>
        </row>
        <row r="2386">
          <cell r="A2386">
            <v>45524</v>
          </cell>
          <cell r="B2386">
            <v>5602.88</v>
          </cell>
          <cell r="C2386">
            <v>5620.51</v>
          </cell>
          <cell r="D2386">
            <v>5585.5</v>
          </cell>
          <cell r="E2386">
            <v>5597.12</v>
          </cell>
          <cell r="F2386">
            <v>5597.12</v>
          </cell>
        </row>
        <row r="2387">
          <cell r="A2387">
            <v>45525</v>
          </cell>
          <cell r="B2387">
            <v>5603.09</v>
          </cell>
          <cell r="C2387">
            <v>5632.68</v>
          </cell>
          <cell r="D2387">
            <v>5591.57</v>
          </cell>
          <cell r="E2387">
            <v>5620.85</v>
          </cell>
          <cell r="F2387">
            <v>5620.85</v>
          </cell>
        </row>
        <row r="2388">
          <cell r="A2388">
            <v>45526</v>
          </cell>
          <cell r="B2388">
            <v>5637.77</v>
          </cell>
          <cell r="C2388">
            <v>5643.22</v>
          </cell>
          <cell r="D2388">
            <v>5560.95</v>
          </cell>
          <cell r="E2388">
            <v>5570.64</v>
          </cell>
          <cell r="F2388">
            <v>5570.64</v>
          </cell>
        </row>
        <row r="2389">
          <cell r="A2389">
            <v>45527</v>
          </cell>
          <cell r="B2389">
            <v>5602.49</v>
          </cell>
          <cell r="C2389">
            <v>5641.82</v>
          </cell>
          <cell r="D2389">
            <v>5585.16</v>
          </cell>
          <cell r="E2389">
            <v>5634.61</v>
          </cell>
          <cell r="F2389">
            <v>5634.61</v>
          </cell>
        </row>
        <row r="2390">
          <cell r="A2390">
            <v>45530</v>
          </cell>
          <cell r="B2390">
            <v>5639.66</v>
          </cell>
          <cell r="C2390">
            <v>5651.62</v>
          </cell>
          <cell r="D2390">
            <v>5602.34</v>
          </cell>
          <cell r="E2390">
            <v>5616.84</v>
          </cell>
          <cell r="F2390">
            <v>5616.84</v>
          </cell>
        </row>
        <row r="2391">
          <cell r="A2391">
            <v>45531</v>
          </cell>
          <cell r="B2391">
            <v>5602.89</v>
          </cell>
          <cell r="C2391">
            <v>5631.18</v>
          </cell>
          <cell r="D2391">
            <v>5593.48</v>
          </cell>
          <cell r="E2391">
            <v>5625.8</v>
          </cell>
          <cell r="F2391">
            <v>5625.8</v>
          </cell>
        </row>
        <row r="2392">
          <cell r="A2392">
            <v>45532</v>
          </cell>
          <cell r="B2392">
            <v>5624.51</v>
          </cell>
          <cell r="C2392">
            <v>5627.03</v>
          </cell>
          <cell r="D2392">
            <v>5560.95</v>
          </cell>
          <cell r="E2392">
            <v>5592.18</v>
          </cell>
          <cell r="F2392">
            <v>5592.18</v>
          </cell>
        </row>
        <row r="2393">
          <cell r="A2393">
            <v>45533</v>
          </cell>
          <cell r="B2393">
            <v>5607.3</v>
          </cell>
          <cell r="C2393">
            <v>5646.95</v>
          </cell>
          <cell r="D2393">
            <v>5583.71</v>
          </cell>
          <cell r="E2393">
            <v>5591.96</v>
          </cell>
          <cell r="F2393">
            <v>5591.96</v>
          </cell>
        </row>
        <row r="2394">
          <cell r="A2394">
            <v>45534</v>
          </cell>
          <cell r="B2394">
            <v>5612.74</v>
          </cell>
          <cell r="C2394">
            <v>5651.37</v>
          </cell>
          <cell r="D2394">
            <v>5581.79</v>
          </cell>
          <cell r="E2394">
            <v>5648.4</v>
          </cell>
          <cell r="F2394">
            <v>5648.4</v>
          </cell>
        </row>
        <row r="2395">
          <cell r="A2395">
            <v>45538</v>
          </cell>
          <cell r="B2395">
            <v>5623.89</v>
          </cell>
          <cell r="C2395">
            <v>5623.89</v>
          </cell>
          <cell r="D2395">
            <v>5504.33</v>
          </cell>
          <cell r="E2395">
            <v>5528.93</v>
          </cell>
          <cell r="F2395">
            <v>5528.93</v>
          </cell>
        </row>
        <row r="2396">
          <cell r="A2396">
            <v>45539</v>
          </cell>
          <cell r="B2396">
            <v>5506.68</v>
          </cell>
          <cell r="C2396">
            <v>5552.99</v>
          </cell>
          <cell r="D2396">
            <v>5503.66</v>
          </cell>
          <cell r="E2396">
            <v>5520.07</v>
          </cell>
          <cell r="F2396">
            <v>5520.07</v>
          </cell>
        </row>
        <row r="2397">
          <cell r="A2397">
            <v>45540</v>
          </cell>
          <cell r="B2397">
            <v>5520.08</v>
          </cell>
          <cell r="C2397">
            <v>5546.3</v>
          </cell>
          <cell r="D2397">
            <v>5480.54</v>
          </cell>
          <cell r="E2397">
            <v>5503.41</v>
          </cell>
          <cell r="F2397">
            <v>5503.41</v>
          </cell>
        </row>
        <row r="2398">
          <cell r="A2398">
            <v>45541</v>
          </cell>
          <cell r="B2398">
            <v>5507.33</v>
          </cell>
          <cell r="C2398">
            <v>5522.47</v>
          </cell>
          <cell r="D2398">
            <v>5402.62</v>
          </cell>
          <cell r="E2398">
            <v>5408.42</v>
          </cell>
          <cell r="F2398">
            <v>5408.42</v>
          </cell>
        </row>
        <row r="2399">
          <cell r="A2399">
            <v>45544</v>
          </cell>
          <cell r="B2399">
            <v>5442.07</v>
          </cell>
          <cell r="C2399">
            <v>5484.2</v>
          </cell>
          <cell r="D2399">
            <v>5434.49</v>
          </cell>
          <cell r="E2399">
            <v>5471.05</v>
          </cell>
          <cell r="F2399">
            <v>5471.05</v>
          </cell>
        </row>
        <row r="2400">
          <cell r="A2400">
            <v>45545</v>
          </cell>
          <cell r="B2400">
            <v>5490.51</v>
          </cell>
          <cell r="C2400">
            <v>5497.91</v>
          </cell>
          <cell r="D2400">
            <v>5441.72</v>
          </cell>
          <cell r="E2400">
            <v>5495.52</v>
          </cell>
          <cell r="F2400">
            <v>5495.52</v>
          </cell>
        </row>
        <row r="2401">
          <cell r="A2401">
            <v>45546</v>
          </cell>
          <cell r="B2401">
            <v>5496.42</v>
          </cell>
          <cell r="C2401">
            <v>5560.41</v>
          </cell>
          <cell r="D2401">
            <v>5406.96</v>
          </cell>
          <cell r="E2401">
            <v>5554.13</v>
          </cell>
          <cell r="F2401">
            <v>5554.13</v>
          </cell>
        </row>
        <row r="2402">
          <cell r="A2402">
            <v>45547</v>
          </cell>
          <cell r="B2402">
            <v>5557.48</v>
          </cell>
          <cell r="C2402">
            <v>5600.71</v>
          </cell>
          <cell r="D2402">
            <v>5535.5</v>
          </cell>
          <cell r="E2402">
            <v>5595.76</v>
          </cell>
          <cell r="F2402">
            <v>5595.76</v>
          </cell>
        </row>
        <row r="2403">
          <cell r="A2403">
            <v>45548</v>
          </cell>
          <cell r="B2403">
            <v>5603.34</v>
          </cell>
          <cell r="C2403">
            <v>5636.27</v>
          </cell>
          <cell r="D2403">
            <v>5601.65</v>
          </cell>
          <cell r="E2403">
            <v>5626.02</v>
          </cell>
          <cell r="F2403">
            <v>5626.02</v>
          </cell>
        </row>
        <row r="2404">
          <cell r="A2404">
            <v>45551</v>
          </cell>
          <cell r="B2404">
            <v>5615.21</v>
          </cell>
          <cell r="C2404">
            <v>5636.05</v>
          </cell>
          <cell r="D2404">
            <v>5604.53</v>
          </cell>
          <cell r="E2404">
            <v>5633.09</v>
          </cell>
          <cell r="F2404">
            <v>5633.09</v>
          </cell>
        </row>
        <row r="2405">
          <cell r="A2405">
            <v>45552</v>
          </cell>
          <cell r="B2405">
            <v>5655.51</v>
          </cell>
          <cell r="C2405">
            <v>5670.81</v>
          </cell>
          <cell r="D2405">
            <v>5614.05</v>
          </cell>
          <cell r="E2405">
            <v>5634.58</v>
          </cell>
          <cell r="F2405">
            <v>5634.58</v>
          </cell>
        </row>
        <row r="2406">
          <cell r="A2406">
            <v>45553</v>
          </cell>
          <cell r="B2406">
            <v>5641.68</v>
          </cell>
          <cell r="C2406">
            <v>5689.75</v>
          </cell>
          <cell r="D2406">
            <v>5615.08</v>
          </cell>
          <cell r="E2406">
            <v>5618.26</v>
          </cell>
          <cell r="F2406">
            <v>5618.26</v>
          </cell>
        </row>
        <row r="2407">
          <cell r="A2407">
            <v>45554</v>
          </cell>
          <cell r="B2407">
            <v>5702.63</v>
          </cell>
          <cell r="C2407">
            <v>5733.57</v>
          </cell>
          <cell r="D2407">
            <v>5686.42</v>
          </cell>
          <cell r="E2407">
            <v>5713.64</v>
          </cell>
          <cell r="F2407">
            <v>5713.64</v>
          </cell>
        </row>
        <row r="2408">
          <cell r="A2408">
            <v>45555</v>
          </cell>
          <cell r="B2408">
            <v>5709.64</v>
          </cell>
          <cell r="C2408">
            <v>5715.14</v>
          </cell>
          <cell r="D2408">
            <v>5674.49</v>
          </cell>
          <cell r="E2408">
            <v>5702.55</v>
          </cell>
          <cell r="F2408">
            <v>5702.55</v>
          </cell>
        </row>
        <row r="2409">
          <cell r="A2409">
            <v>45558</v>
          </cell>
          <cell r="B2409">
            <v>5711.9</v>
          </cell>
          <cell r="C2409">
            <v>5725.36</v>
          </cell>
          <cell r="D2409">
            <v>5704.22</v>
          </cell>
          <cell r="E2409">
            <v>5718.57</v>
          </cell>
          <cell r="F2409">
            <v>5718.57</v>
          </cell>
        </row>
        <row r="2410">
          <cell r="A2410">
            <v>45559</v>
          </cell>
          <cell r="B2410">
            <v>5727.66</v>
          </cell>
          <cell r="C2410">
            <v>5735.32</v>
          </cell>
          <cell r="D2410">
            <v>5698.99</v>
          </cell>
          <cell r="E2410">
            <v>5732.93</v>
          </cell>
          <cell r="F2410">
            <v>5732.93</v>
          </cell>
        </row>
        <row r="2411">
          <cell r="A2411">
            <v>45560</v>
          </cell>
          <cell r="B2411">
            <v>5733.65</v>
          </cell>
          <cell r="C2411">
            <v>5741.03</v>
          </cell>
          <cell r="D2411">
            <v>5712.06</v>
          </cell>
          <cell r="E2411">
            <v>5722.26</v>
          </cell>
          <cell r="F2411">
            <v>5722.26</v>
          </cell>
        </row>
        <row r="2412">
          <cell r="A2412">
            <v>45561</v>
          </cell>
          <cell r="B2412">
            <v>5762.22</v>
          </cell>
          <cell r="C2412">
            <v>5767.37</v>
          </cell>
          <cell r="D2412">
            <v>5721.01</v>
          </cell>
          <cell r="E2412">
            <v>5745.37</v>
          </cell>
          <cell r="F2412">
            <v>5745.37</v>
          </cell>
        </row>
        <row r="2413">
          <cell r="A2413">
            <v>45562</v>
          </cell>
          <cell r="B2413">
            <v>5755.36</v>
          </cell>
          <cell r="C2413">
            <v>5763.78</v>
          </cell>
          <cell r="D2413">
            <v>5727.34</v>
          </cell>
          <cell r="E2413">
            <v>5738.17</v>
          </cell>
          <cell r="F2413">
            <v>5738.17</v>
          </cell>
        </row>
        <row r="2414">
          <cell r="A2414">
            <v>45565</v>
          </cell>
          <cell r="B2414">
            <v>5726.52</v>
          </cell>
          <cell r="C2414">
            <v>5765.14</v>
          </cell>
          <cell r="D2414">
            <v>5703.53</v>
          </cell>
          <cell r="E2414">
            <v>5762.48</v>
          </cell>
          <cell r="F2414">
            <v>5762.48</v>
          </cell>
        </row>
        <row r="2415">
          <cell r="A2415">
            <v>45566</v>
          </cell>
          <cell r="B2415">
            <v>5757.73</v>
          </cell>
          <cell r="C2415">
            <v>5757.73</v>
          </cell>
          <cell r="D2415">
            <v>5681.28</v>
          </cell>
          <cell r="E2415">
            <v>5708.75</v>
          </cell>
          <cell r="F2415">
            <v>5708.75</v>
          </cell>
        </row>
        <row r="2416">
          <cell r="A2416">
            <v>45567</v>
          </cell>
          <cell r="B2416">
            <v>5698.14</v>
          </cell>
          <cell r="C2416">
            <v>5719.63</v>
          </cell>
          <cell r="D2416">
            <v>5674</v>
          </cell>
          <cell r="E2416">
            <v>5709.54</v>
          </cell>
          <cell r="F2416">
            <v>5709.54</v>
          </cell>
        </row>
        <row r="2417">
          <cell r="A2417">
            <v>45568</v>
          </cell>
          <cell r="B2417">
            <v>5698.19</v>
          </cell>
          <cell r="C2417">
            <v>5718.78</v>
          </cell>
          <cell r="D2417">
            <v>5677.37</v>
          </cell>
          <cell r="E2417">
            <v>5699.94</v>
          </cell>
          <cell r="F2417">
            <v>5699.94</v>
          </cell>
        </row>
        <row r="2418">
          <cell r="A2418">
            <v>45569</v>
          </cell>
          <cell r="B2418">
            <v>5737.48</v>
          </cell>
          <cell r="C2418">
            <v>5753.21</v>
          </cell>
          <cell r="D2418">
            <v>5702.83</v>
          </cell>
          <cell r="E2418">
            <v>5751.07</v>
          </cell>
          <cell r="F2418">
            <v>5751.07</v>
          </cell>
        </row>
        <row r="2419">
          <cell r="A2419">
            <v>45572</v>
          </cell>
          <cell r="B2419">
            <v>5737.8</v>
          </cell>
          <cell r="C2419">
            <v>5739.34</v>
          </cell>
          <cell r="D2419">
            <v>5686.85</v>
          </cell>
          <cell r="E2419">
            <v>5695.94</v>
          </cell>
          <cell r="F2419">
            <v>5695.94</v>
          </cell>
        </row>
        <row r="2420">
          <cell r="A2420">
            <v>45573</v>
          </cell>
          <cell r="B2420">
            <v>5719.14</v>
          </cell>
          <cell r="C2420">
            <v>5757.6</v>
          </cell>
          <cell r="D2420">
            <v>5714.56</v>
          </cell>
          <cell r="E2420">
            <v>5751.13</v>
          </cell>
          <cell r="F2420">
            <v>5751.13</v>
          </cell>
        </row>
        <row r="2421">
          <cell r="A2421">
            <v>45574</v>
          </cell>
          <cell r="B2421">
            <v>5751.8</v>
          </cell>
          <cell r="C2421">
            <v>5796.8</v>
          </cell>
          <cell r="D2421">
            <v>5745.02</v>
          </cell>
          <cell r="E2421">
            <v>5792.04</v>
          </cell>
          <cell r="F2421">
            <v>5792.04</v>
          </cell>
        </row>
        <row r="2422">
          <cell r="A2422">
            <v>45575</v>
          </cell>
          <cell r="B2422">
            <v>5778.36</v>
          </cell>
          <cell r="C2422">
            <v>5795.03</v>
          </cell>
          <cell r="D2422">
            <v>5764.76</v>
          </cell>
          <cell r="E2422">
            <v>5780.05</v>
          </cell>
          <cell r="F2422">
            <v>5780.05</v>
          </cell>
        </row>
        <row r="2423">
          <cell r="A2423">
            <v>45576</v>
          </cell>
          <cell r="B2423">
            <v>5775.09</v>
          </cell>
          <cell r="C2423">
            <v>5822.13</v>
          </cell>
          <cell r="D2423">
            <v>5775.09</v>
          </cell>
          <cell r="E2423">
            <v>5815.03</v>
          </cell>
          <cell r="F2423">
            <v>5815.03</v>
          </cell>
        </row>
        <row r="2424">
          <cell r="A2424">
            <v>45579</v>
          </cell>
          <cell r="B2424">
            <v>5829.81</v>
          </cell>
          <cell r="C2424">
            <v>5871.41</v>
          </cell>
          <cell r="D2424">
            <v>5829.57</v>
          </cell>
          <cell r="E2424">
            <v>5859.85</v>
          </cell>
          <cell r="F2424">
            <v>5859.85</v>
          </cell>
        </row>
        <row r="2425">
          <cell r="A2425">
            <v>45580</v>
          </cell>
          <cell r="B2425">
            <v>5866.74</v>
          </cell>
          <cell r="C2425">
            <v>5870.36</v>
          </cell>
          <cell r="D2425">
            <v>5804.48</v>
          </cell>
          <cell r="E2425">
            <v>5815.26</v>
          </cell>
          <cell r="F2425">
            <v>5815.26</v>
          </cell>
        </row>
        <row r="2426">
          <cell r="A2426">
            <v>45581</v>
          </cell>
          <cell r="B2426">
            <v>5816.58</v>
          </cell>
          <cell r="C2426">
            <v>5846.52</v>
          </cell>
          <cell r="D2426">
            <v>5808.34</v>
          </cell>
          <cell r="E2426">
            <v>5842.47</v>
          </cell>
          <cell r="F2426">
            <v>5842.47</v>
          </cell>
        </row>
        <row r="2427">
          <cell r="A2427">
            <v>45582</v>
          </cell>
          <cell r="B2427">
            <v>5875.62</v>
          </cell>
          <cell r="C2427">
            <v>5878.46</v>
          </cell>
          <cell r="D2427">
            <v>5840.25</v>
          </cell>
          <cell r="E2427">
            <v>5841.47</v>
          </cell>
          <cell r="F2427">
            <v>5841.47</v>
          </cell>
        </row>
        <row r="2428">
          <cell r="A2428">
            <v>45583</v>
          </cell>
          <cell r="B2428">
            <v>5859.43</v>
          </cell>
          <cell r="C2428">
            <v>5872.17</v>
          </cell>
          <cell r="D2428">
            <v>5846.11</v>
          </cell>
          <cell r="E2428">
            <v>5864.67</v>
          </cell>
          <cell r="F2428">
            <v>5864.67</v>
          </cell>
        </row>
        <row r="2429">
          <cell r="A2429">
            <v>45586</v>
          </cell>
          <cell r="B2429">
            <v>5857.82</v>
          </cell>
          <cell r="C2429">
            <v>5866.92</v>
          </cell>
          <cell r="D2429">
            <v>5824.79</v>
          </cell>
          <cell r="E2429">
            <v>5853.98</v>
          </cell>
          <cell r="F2429">
            <v>5853.98</v>
          </cell>
        </row>
        <row r="2430">
          <cell r="A2430">
            <v>45587</v>
          </cell>
          <cell r="B2430">
            <v>5832.7</v>
          </cell>
          <cell r="C2430">
            <v>5863.04</v>
          </cell>
          <cell r="D2430">
            <v>5821.17</v>
          </cell>
          <cell r="E2430">
            <v>5851.2</v>
          </cell>
          <cell r="F2430">
            <v>5851.2</v>
          </cell>
        </row>
        <row r="2431">
          <cell r="A2431">
            <v>45588</v>
          </cell>
          <cell r="B2431">
            <v>5834.5</v>
          </cell>
          <cell r="C2431">
            <v>5834.85</v>
          </cell>
          <cell r="D2431">
            <v>5762.41</v>
          </cell>
          <cell r="E2431">
            <v>5797.42</v>
          </cell>
          <cell r="F2431">
            <v>5797.42</v>
          </cell>
        </row>
        <row r="2432">
          <cell r="A2432">
            <v>45589</v>
          </cell>
          <cell r="B2432">
            <v>5817.8</v>
          </cell>
          <cell r="C2432">
            <v>5817.8</v>
          </cell>
          <cell r="D2432">
            <v>5784.92</v>
          </cell>
          <cell r="E2432">
            <v>5809.86</v>
          </cell>
          <cell r="F2432">
            <v>5809.86</v>
          </cell>
        </row>
        <row r="2433">
          <cell r="A2433">
            <v>45590</v>
          </cell>
          <cell r="B2433">
            <v>5826.75</v>
          </cell>
          <cell r="C2433">
            <v>5862.82</v>
          </cell>
          <cell r="D2433">
            <v>5799.98</v>
          </cell>
          <cell r="E2433">
            <v>5808.12</v>
          </cell>
          <cell r="F2433">
            <v>5808.12</v>
          </cell>
        </row>
        <row r="2434">
          <cell r="A2434">
            <v>45593</v>
          </cell>
          <cell r="B2434">
            <v>5833.93</v>
          </cell>
          <cell r="C2434">
            <v>5842.92</v>
          </cell>
          <cell r="D2434">
            <v>5823.08</v>
          </cell>
          <cell r="E2434">
            <v>5823.52</v>
          </cell>
          <cell r="F2434">
            <v>5823.52</v>
          </cell>
        </row>
        <row r="2435">
          <cell r="A2435">
            <v>45594</v>
          </cell>
          <cell r="B2435">
            <v>5819.68</v>
          </cell>
          <cell r="C2435">
            <v>5847.19</v>
          </cell>
          <cell r="D2435">
            <v>5802.17</v>
          </cell>
          <cell r="E2435">
            <v>5832.92</v>
          </cell>
          <cell r="F2435">
            <v>5832.92</v>
          </cell>
        </row>
        <row r="2436">
          <cell r="A2436">
            <v>45595</v>
          </cell>
          <cell r="B2436">
            <v>5832.65</v>
          </cell>
          <cell r="C2436">
            <v>5850.94</v>
          </cell>
          <cell r="D2436">
            <v>5811.28</v>
          </cell>
          <cell r="E2436">
            <v>5813.67</v>
          </cell>
          <cell r="F2436">
            <v>5813.67</v>
          </cell>
        </row>
        <row r="2437">
          <cell r="A2437">
            <v>45596</v>
          </cell>
          <cell r="B2437">
            <v>5775.34</v>
          </cell>
          <cell r="C2437">
            <v>5775.34</v>
          </cell>
          <cell r="D2437">
            <v>5702.86</v>
          </cell>
          <cell r="E2437">
            <v>5705.45</v>
          </cell>
          <cell r="F2437">
            <v>5705.45</v>
          </cell>
        </row>
        <row r="2438">
          <cell r="A2438">
            <v>45597</v>
          </cell>
          <cell r="B2438">
            <v>5723.22</v>
          </cell>
          <cell r="C2438">
            <v>5772.52</v>
          </cell>
          <cell r="D2438">
            <v>5723.22</v>
          </cell>
          <cell r="E2438">
            <v>5728.8</v>
          </cell>
          <cell r="F2438">
            <v>5728.8</v>
          </cell>
        </row>
        <row r="2439">
          <cell r="A2439">
            <v>45600</v>
          </cell>
          <cell r="B2439">
            <v>5725.15</v>
          </cell>
          <cell r="C2439">
            <v>5741.43</v>
          </cell>
          <cell r="D2439">
            <v>5696.51</v>
          </cell>
          <cell r="E2439">
            <v>5712.69</v>
          </cell>
          <cell r="F2439">
            <v>5712.69</v>
          </cell>
        </row>
        <row r="2440">
          <cell r="A2440">
            <v>45601</v>
          </cell>
          <cell r="B2440">
            <v>5722.43</v>
          </cell>
          <cell r="C2440">
            <v>5783.44</v>
          </cell>
          <cell r="D2440">
            <v>5722.1</v>
          </cell>
          <cell r="E2440">
            <v>5782.76</v>
          </cell>
          <cell r="F2440">
            <v>5782.76</v>
          </cell>
        </row>
        <row r="2441">
          <cell r="A2441">
            <v>45602</v>
          </cell>
          <cell r="B2441">
            <v>5864.89</v>
          </cell>
          <cell r="C2441">
            <v>5936.14</v>
          </cell>
          <cell r="D2441">
            <v>5864.89</v>
          </cell>
          <cell r="E2441">
            <v>5929.04</v>
          </cell>
          <cell r="F2441">
            <v>5929.04</v>
          </cell>
        </row>
        <row r="2442">
          <cell r="A2442">
            <v>45603</v>
          </cell>
          <cell r="B2442">
            <v>5947.21</v>
          </cell>
          <cell r="C2442">
            <v>5983.84</v>
          </cell>
          <cell r="D2442">
            <v>5947.21</v>
          </cell>
          <cell r="E2442">
            <v>5973.1</v>
          </cell>
          <cell r="F2442">
            <v>5973.1</v>
          </cell>
        </row>
        <row r="2443">
          <cell r="A2443">
            <v>45604</v>
          </cell>
          <cell r="B2443">
            <v>5976.76</v>
          </cell>
          <cell r="C2443">
            <v>6012.45</v>
          </cell>
          <cell r="D2443">
            <v>5976.76</v>
          </cell>
          <cell r="E2443">
            <v>5995.54</v>
          </cell>
          <cell r="F2443">
            <v>5995.54</v>
          </cell>
        </row>
        <row r="2444">
          <cell r="A2444">
            <v>45607</v>
          </cell>
          <cell r="B2444">
            <v>6008.86</v>
          </cell>
          <cell r="C2444">
            <v>6017.31</v>
          </cell>
          <cell r="D2444">
            <v>5986.69</v>
          </cell>
          <cell r="E2444">
            <v>6001.35</v>
          </cell>
          <cell r="F2444">
            <v>6001.35</v>
          </cell>
        </row>
        <row r="2445">
          <cell r="A2445">
            <v>45608</v>
          </cell>
          <cell r="B2445">
            <v>6003.6</v>
          </cell>
          <cell r="C2445">
            <v>6009.92</v>
          </cell>
          <cell r="D2445">
            <v>5960.08</v>
          </cell>
          <cell r="E2445">
            <v>5983.99</v>
          </cell>
          <cell r="F2445">
            <v>5983.99</v>
          </cell>
        </row>
        <row r="2446">
          <cell r="A2446">
            <v>45609</v>
          </cell>
          <cell r="B2446">
            <v>5985.75</v>
          </cell>
          <cell r="C2446">
            <v>6008.19</v>
          </cell>
          <cell r="D2446">
            <v>5965.91</v>
          </cell>
          <cell r="E2446">
            <v>5985.38</v>
          </cell>
          <cell r="F2446">
            <v>5985.38</v>
          </cell>
        </row>
        <row r="2447">
          <cell r="A2447">
            <v>45610</v>
          </cell>
          <cell r="B2447">
            <v>5989.68</v>
          </cell>
          <cell r="C2447">
            <v>5993.88</v>
          </cell>
          <cell r="D2447">
            <v>5942.28</v>
          </cell>
          <cell r="E2447">
            <v>5949.17</v>
          </cell>
          <cell r="F2447">
            <v>5949.17</v>
          </cell>
        </row>
        <row r="2448">
          <cell r="A2448">
            <v>45611</v>
          </cell>
          <cell r="B2448">
            <v>5912.79</v>
          </cell>
          <cell r="C2448">
            <v>5915.32</v>
          </cell>
          <cell r="D2448">
            <v>5853.01</v>
          </cell>
          <cell r="E2448">
            <v>5870.62</v>
          </cell>
          <cell r="F2448">
            <v>5870.62</v>
          </cell>
        </row>
        <row r="2449">
          <cell r="A2449">
            <v>45614</v>
          </cell>
          <cell r="B2449">
            <v>5874.17</v>
          </cell>
          <cell r="C2449">
            <v>5908.12</v>
          </cell>
          <cell r="D2449">
            <v>5865.95</v>
          </cell>
          <cell r="E2449">
            <v>5893.62</v>
          </cell>
          <cell r="F2449">
            <v>5893.62</v>
          </cell>
        </row>
        <row r="2450">
          <cell r="A2450">
            <v>45615</v>
          </cell>
          <cell r="B2450">
            <v>5870.05</v>
          </cell>
          <cell r="C2450">
            <v>5923.51</v>
          </cell>
          <cell r="D2450">
            <v>5855.29</v>
          </cell>
          <cell r="E2450">
            <v>5916.98</v>
          </cell>
          <cell r="F2450">
            <v>5916.98</v>
          </cell>
        </row>
        <row r="2451">
          <cell r="A2451">
            <v>45616</v>
          </cell>
          <cell r="B2451">
            <v>5914.34</v>
          </cell>
          <cell r="C2451">
            <v>5920.67</v>
          </cell>
          <cell r="D2451">
            <v>5860.56</v>
          </cell>
          <cell r="E2451">
            <v>5917.11</v>
          </cell>
          <cell r="F2451">
            <v>5917.11</v>
          </cell>
        </row>
        <row r="2452">
          <cell r="A2452">
            <v>45617</v>
          </cell>
          <cell r="B2452">
            <v>5940.58</v>
          </cell>
          <cell r="C2452">
            <v>5963.32</v>
          </cell>
          <cell r="D2452">
            <v>5887.26</v>
          </cell>
          <cell r="E2452">
            <v>5948.71</v>
          </cell>
          <cell r="F2452">
            <v>5948.71</v>
          </cell>
        </row>
        <row r="2453">
          <cell r="A2453">
            <v>45618</v>
          </cell>
          <cell r="B2453">
            <v>5944.36</v>
          </cell>
          <cell r="C2453">
            <v>5972.9</v>
          </cell>
          <cell r="D2453">
            <v>5944.36</v>
          </cell>
          <cell r="E2453">
            <v>5969.34</v>
          </cell>
          <cell r="F2453">
            <v>5969.34</v>
          </cell>
        </row>
        <row r="2454">
          <cell r="A2454">
            <v>45621</v>
          </cell>
          <cell r="B2454">
            <v>5992.28</v>
          </cell>
          <cell r="C2454">
            <v>6020.75</v>
          </cell>
          <cell r="D2454">
            <v>5963.91</v>
          </cell>
          <cell r="E2454">
            <v>5987.37</v>
          </cell>
          <cell r="F2454">
            <v>5987.37</v>
          </cell>
        </row>
        <row r="2455">
          <cell r="A2455">
            <v>45622</v>
          </cell>
          <cell r="B2455">
            <v>6000.03</v>
          </cell>
          <cell r="C2455">
            <v>6025.42</v>
          </cell>
          <cell r="D2455">
            <v>5992.27</v>
          </cell>
          <cell r="E2455">
            <v>6021.63</v>
          </cell>
          <cell r="F2455">
            <v>6021.63</v>
          </cell>
        </row>
        <row r="2456">
          <cell r="A2456">
            <v>45623</v>
          </cell>
          <cell r="B2456">
            <v>6014.11</v>
          </cell>
          <cell r="C2456">
            <v>6020.16</v>
          </cell>
          <cell r="D2456">
            <v>5984.87</v>
          </cell>
          <cell r="E2456">
            <v>5998.74</v>
          </cell>
          <cell r="F2456">
            <v>5998.74</v>
          </cell>
        </row>
        <row r="2457">
          <cell r="A2457">
            <v>45625</v>
          </cell>
          <cell r="B2457">
            <v>6003.98</v>
          </cell>
          <cell r="C2457">
            <v>6044.17</v>
          </cell>
          <cell r="D2457">
            <v>6003.98</v>
          </cell>
          <cell r="E2457">
            <v>6032.38</v>
          </cell>
          <cell r="F2457">
            <v>6032.38</v>
          </cell>
        </row>
        <row r="2458">
          <cell r="A2458">
            <v>45628</v>
          </cell>
          <cell r="B2458">
            <v>6040.11</v>
          </cell>
          <cell r="C2458">
            <v>6053.58</v>
          </cell>
          <cell r="D2458">
            <v>6035.33</v>
          </cell>
          <cell r="E2458">
            <v>6047.15</v>
          </cell>
          <cell r="F2458">
            <v>6047.15</v>
          </cell>
        </row>
        <row r="2459">
          <cell r="A2459">
            <v>45629</v>
          </cell>
          <cell r="B2459">
            <v>6042.97</v>
          </cell>
          <cell r="C2459">
            <v>6052.07</v>
          </cell>
          <cell r="D2459">
            <v>6033.39</v>
          </cell>
          <cell r="E2459">
            <v>6049.88</v>
          </cell>
          <cell r="F2459">
            <v>6049.88</v>
          </cell>
        </row>
        <row r="2460">
          <cell r="A2460">
            <v>45630</v>
          </cell>
          <cell r="B2460">
            <v>6069.39</v>
          </cell>
          <cell r="C2460">
            <v>6089.84</v>
          </cell>
          <cell r="D2460">
            <v>6061.06</v>
          </cell>
          <cell r="E2460">
            <v>6086.49</v>
          </cell>
          <cell r="F2460">
            <v>6086.49</v>
          </cell>
        </row>
        <row r="2461">
          <cell r="A2461">
            <v>45631</v>
          </cell>
          <cell r="B2461">
            <v>6089.03</v>
          </cell>
          <cell r="C2461">
            <v>6094.55</v>
          </cell>
          <cell r="D2461">
            <v>6072.9</v>
          </cell>
          <cell r="E2461">
            <v>6075.11</v>
          </cell>
          <cell r="F2461">
            <v>6075.11</v>
          </cell>
        </row>
        <row r="2462">
          <cell r="A2462">
            <v>45632</v>
          </cell>
          <cell r="B2462">
            <v>6081.38</v>
          </cell>
          <cell r="C2462">
            <v>6099.97</v>
          </cell>
          <cell r="D2462">
            <v>6079.98</v>
          </cell>
          <cell r="E2462">
            <v>6090.27</v>
          </cell>
          <cell r="F2462">
            <v>6090.27</v>
          </cell>
        </row>
        <row r="2463">
          <cell r="A2463">
            <v>45635</v>
          </cell>
          <cell r="B2463">
            <v>6083.01</v>
          </cell>
          <cell r="C2463">
            <v>6088.51</v>
          </cell>
          <cell r="D2463">
            <v>6048.63</v>
          </cell>
          <cell r="E2463">
            <v>6052.85</v>
          </cell>
          <cell r="F2463">
            <v>6052.85</v>
          </cell>
        </row>
        <row r="2464">
          <cell r="A2464">
            <v>45636</v>
          </cell>
          <cell r="B2464">
            <v>6057.59</v>
          </cell>
          <cell r="C2464">
            <v>6065.4</v>
          </cell>
          <cell r="D2464">
            <v>6029.89</v>
          </cell>
          <cell r="E2464">
            <v>6034.91</v>
          </cell>
          <cell r="F2464">
            <v>6034.91</v>
          </cell>
        </row>
        <row r="2465">
          <cell r="A2465">
            <v>45637</v>
          </cell>
          <cell r="B2465">
            <v>6060.15</v>
          </cell>
          <cell r="C2465">
            <v>6092.59</v>
          </cell>
          <cell r="D2465">
            <v>6060.15</v>
          </cell>
          <cell r="E2465">
            <v>6084.19</v>
          </cell>
          <cell r="F2465">
            <v>6084.19</v>
          </cell>
        </row>
        <row r="2466">
          <cell r="A2466">
            <v>45638</v>
          </cell>
          <cell r="B2466">
            <v>6074.29</v>
          </cell>
          <cell r="C2466">
            <v>6079.68</v>
          </cell>
          <cell r="D2466">
            <v>6051.25</v>
          </cell>
          <cell r="E2466">
            <v>6051.25</v>
          </cell>
          <cell r="F2466">
            <v>6051.25</v>
          </cell>
        </row>
        <row r="2467">
          <cell r="A2467">
            <v>45639</v>
          </cell>
          <cell r="B2467">
            <v>6068.17</v>
          </cell>
          <cell r="C2467">
            <v>6078.58</v>
          </cell>
          <cell r="D2467">
            <v>6035.77</v>
          </cell>
          <cell r="E2467">
            <v>6051.09</v>
          </cell>
          <cell r="F2467">
            <v>6051.09</v>
          </cell>
        </row>
        <row r="2468">
          <cell r="A2468">
            <v>45642</v>
          </cell>
          <cell r="B2468">
            <v>6063.79</v>
          </cell>
          <cell r="C2468">
            <v>6085.19</v>
          </cell>
          <cell r="D2468">
            <v>6059.14</v>
          </cell>
          <cell r="E2468">
            <v>6074.08</v>
          </cell>
          <cell r="F2468">
            <v>6074.08</v>
          </cell>
        </row>
        <row r="2469">
          <cell r="A2469">
            <v>45643</v>
          </cell>
          <cell r="B2469">
            <v>6052.55</v>
          </cell>
          <cell r="C2469">
            <v>6057.68</v>
          </cell>
          <cell r="D2469">
            <v>6035.19</v>
          </cell>
          <cell r="E2469">
            <v>6050.61</v>
          </cell>
          <cell r="F2469">
            <v>6050.61</v>
          </cell>
        </row>
        <row r="2470">
          <cell r="A2470">
            <v>45644</v>
          </cell>
          <cell r="B2470">
            <v>6047.65</v>
          </cell>
          <cell r="C2470">
            <v>6070.67</v>
          </cell>
          <cell r="D2470">
            <v>5867.79</v>
          </cell>
          <cell r="E2470">
            <v>5872.16</v>
          </cell>
          <cell r="F2470">
            <v>5872.16</v>
          </cell>
        </row>
        <row r="2471">
          <cell r="A2471">
            <v>45645</v>
          </cell>
          <cell r="B2471">
            <v>5912.71</v>
          </cell>
          <cell r="C2471">
            <v>5935.52</v>
          </cell>
          <cell r="D2471">
            <v>5866.07</v>
          </cell>
          <cell r="E2471">
            <v>5867.08</v>
          </cell>
          <cell r="F2471">
            <v>5867.08</v>
          </cell>
        </row>
        <row r="2472">
          <cell r="A2472">
            <v>45646</v>
          </cell>
          <cell r="B2472">
            <v>5842</v>
          </cell>
          <cell r="C2472">
            <v>5982.06</v>
          </cell>
          <cell r="D2472">
            <v>5832.3</v>
          </cell>
          <cell r="E2472">
            <v>5930.85</v>
          </cell>
          <cell r="F2472">
            <v>5930.85</v>
          </cell>
        </row>
        <row r="2473">
          <cell r="A2473">
            <v>45649</v>
          </cell>
          <cell r="B2473">
            <v>5940.25</v>
          </cell>
          <cell r="C2473">
            <v>5978.25</v>
          </cell>
          <cell r="D2473">
            <v>5902.57</v>
          </cell>
          <cell r="E2473">
            <v>5974.07</v>
          </cell>
          <cell r="F2473">
            <v>5974.07</v>
          </cell>
        </row>
        <row r="2474">
          <cell r="A2474">
            <v>45650</v>
          </cell>
          <cell r="B2474">
            <v>5984.63</v>
          </cell>
          <cell r="C2474">
            <v>6040.1</v>
          </cell>
          <cell r="D2474">
            <v>5981.44</v>
          </cell>
          <cell r="E2474">
            <v>6040.04</v>
          </cell>
          <cell r="F2474">
            <v>6040.04</v>
          </cell>
        </row>
        <row r="2475">
          <cell r="A2475">
            <v>45652</v>
          </cell>
          <cell r="B2475">
            <v>6024.97</v>
          </cell>
          <cell r="C2475">
            <v>6049.75</v>
          </cell>
          <cell r="D2475">
            <v>6007.37</v>
          </cell>
          <cell r="E2475">
            <v>6037.59</v>
          </cell>
          <cell r="F2475">
            <v>6037.59</v>
          </cell>
        </row>
        <row r="2476">
          <cell r="A2476">
            <v>45653</v>
          </cell>
          <cell r="B2476">
            <v>6006.17</v>
          </cell>
          <cell r="C2476">
            <v>6006.17</v>
          </cell>
          <cell r="D2476">
            <v>5932.95</v>
          </cell>
          <cell r="E2476">
            <v>5970.84</v>
          </cell>
          <cell r="F2476">
            <v>5970.84</v>
          </cell>
        </row>
        <row r="2477">
          <cell r="A2477">
            <v>45656</v>
          </cell>
          <cell r="B2477">
            <v>5920.67</v>
          </cell>
          <cell r="C2477">
            <v>5940.79</v>
          </cell>
          <cell r="D2477">
            <v>5869.16</v>
          </cell>
          <cell r="E2477">
            <v>5906.94</v>
          </cell>
          <cell r="F2477">
            <v>5906.94</v>
          </cell>
        </row>
        <row r="2478">
          <cell r="A2478">
            <v>45657</v>
          </cell>
          <cell r="B2478">
            <v>5919.74</v>
          </cell>
          <cell r="C2478">
            <v>5929.74</v>
          </cell>
          <cell r="D2478">
            <v>5868.86</v>
          </cell>
          <cell r="E2478">
            <v>5881.63</v>
          </cell>
          <cell r="F2478">
            <v>5881.63</v>
          </cell>
        </row>
        <row r="2479">
          <cell r="A2479">
            <v>45659</v>
          </cell>
          <cell r="B2479">
            <v>5903.26</v>
          </cell>
          <cell r="C2479">
            <v>5935.09</v>
          </cell>
          <cell r="D2479">
            <v>5829.53</v>
          </cell>
          <cell r="E2479">
            <v>5868.55</v>
          </cell>
          <cell r="F2479">
            <v>5868.55</v>
          </cell>
        </row>
        <row r="2480">
          <cell r="A2480">
            <v>45660</v>
          </cell>
          <cell r="B2480">
            <v>5891.07</v>
          </cell>
          <cell r="C2480">
            <v>5949.34</v>
          </cell>
          <cell r="D2480">
            <v>5888.66</v>
          </cell>
          <cell r="E2480">
            <v>5942.47</v>
          </cell>
          <cell r="F2480">
            <v>5942.47</v>
          </cell>
        </row>
        <row r="2481">
          <cell r="A2481">
            <v>45663</v>
          </cell>
          <cell r="B2481">
            <v>5982.81</v>
          </cell>
          <cell r="C2481">
            <v>6021.04</v>
          </cell>
          <cell r="D2481">
            <v>5960.01</v>
          </cell>
          <cell r="E2481">
            <v>5975.38</v>
          </cell>
          <cell r="F2481">
            <v>5975.38</v>
          </cell>
        </row>
        <row r="2482">
          <cell r="A2482">
            <v>45664</v>
          </cell>
          <cell r="B2482">
            <v>5993.26</v>
          </cell>
          <cell r="C2482">
            <v>6000.68</v>
          </cell>
          <cell r="D2482">
            <v>5890.68</v>
          </cell>
          <cell r="E2482">
            <v>5909.03</v>
          </cell>
          <cell r="F2482">
            <v>5909.03</v>
          </cell>
        </row>
        <row r="2483">
          <cell r="A2483">
            <v>45665</v>
          </cell>
          <cell r="B2483">
            <v>5910.66</v>
          </cell>
          <cell r="C2483">
            <v>5927.89</v>
          </cell>
          <cell r="D2483">
            <v>5874.78</v>
          </cell>
          <cell r="E2483">
            <v>5918.25</v>
          </cell>
          <cell r="F2483">
            <v>5918.25</v>
          </cell>
        </row>
        <row r="2484">
          <cell r="A2484">
            <v>45667</v>
          </cell>
          <cell r="B2484">
            <v>5890.35</v>
          </cell>
          <cell r="C2484">
            <v>5890.35</v>
          </cell>
          <cell r="D2484">
            <v>5807.78</v>
          </cell>
          <cell r="E2484">
            <v>5827.04</v>
          </cell>
          <cell r="F2484">
            <v>5827.04</v>
          </cell>
        </row>
        <row r="2485">
          <cell r="A2485">
            <v>45670</v>
          </cell>
          <cell r="B2485">
            <v>5782.02</v>
          </cell>
          <cell r="C2485">
            <v>5838.61</v>
          </cell>
          <cell r="D2485">
            <v>5773.31</v>
          </cell>
          <cell r="E2485">
            <v>5836.22</v>
          </cell>
          <cell r="F2485">
            <v>5836.22</v>
          </cell>
        </row>
        <row r="2486">
          <cell r="A2486">
            <v>45671</v>
          </cell>
          <cell r="B2486">
            <v>5859.27</v>
          </cell>
          <cell r="C2486">
            <v>5871.92</v>
          </cell>
          <cell r="D2486">
            <v>5805.42</v>
          </cell>
          <cell r="E2486">
            <v>5842.91</v>
          </cell>
          <cell r="F2486">
            <v>5842.91</v>
          </cell>
        </row>
        <row r="2487">
          <cell r="A2487">
            <v>45672</v>
          </cell>
          <cell r="B2487">
            <v>5905.21</v>
          </cell>
          <cell r="C2487">
            <v>5960.61</v>
          </cell>
          <cell r="D2487">
            <v>5905.21</v>
          </cell>
          <cell r="E2487">
            <v>5949.91</v>
          </cell>
          <cell r="F2487">
            <v>5949.91</v>
          </cell>
        </row>
        <row r="2488">
          <cell r="A2488">
            <v>45673</v>
          </cell>
          <cell r="B2488">
            <v>5963.61</v>
          </cell>
          <cell r="C2488">
            <v>5964.69</v>
          </cell>
          <cell r="D2488">
            <v>5930.72</v>
          </cell>
          <cell r="E2488">
            <v>5937.34</v>
          </cell>
          <cell r="F2488">
            <v>5937.34</v>
          </cell>
        </row>
        <row r="2489">
          <cell r="A2489">
            <v>45674</v>
          </cell>
          <cell r="B2489">
            <v>5995.4</v>
          </cell>
          <cell r="C2489">
            <v>6014.96</v>
          </cell>
          <cell r="D2489">
            <v>5978.44</v>
          </cell>
          <cell r="E2489">
            <v>5996.66</v>
          </cell>
          <cell r="F2489">
            <v>5996.66</v>
          </cell>
        </row>
        <row r="2490">
          <cell r="A2490">
            <v>45678</v>
          </cell>
          <cell r="B2490">
            <v>6014.12</v>
          </cell>
          <cell r="C2490">
            <v>6051.51</v>
          </cell>
          <cell r="D2490">
            <v>6006.88</v>
          </cell>
          <cell r="E2490">
            <v>6049.24</v>
          </cell>
          <cell r="F2490">
            <v>6049.24</v>
          </cell>
        </row>
        <row r="2491">
          <cell r="A2491">
            <v>45679</v>
          </cell>
          <cell r="B2491">
            <v>6081.39</v>
          </cell>
          <cell r="C2491">
            <v>6100.81</v>
          </cell>
          <cell r="D2491">
            <v>6076.13</v>
          </cell>
          <cell r="E2491">
            <v>6086.37</v>
          </cell>
          <cell r="F2491">
            <v>6086.37</v>
          </cell>
        </row>
        <row r="2492">
          <cell r="A2492">
            <v>45680</v>
          </cell>
          <cell r="B2492">
            <v>6076.32</v>
          </cell>
          <cell r="C2492">
            <v>6118.73</v>
          </cell>
          <cell r="D2492">
            <v>6074.67</v>
          </cell>
          <cell r="E2492">
            <v>6118.71</v>
          </cell>
          <cell r="F2492">
            <v>6118.71</v>
          </cell>
        </row>
        <row r="2493">
          <cell r="A2493">
            <v>45681</v>
          </cell>
          <cell r="B2493">
            <v>6121.43</v>
          </cell>
          <cell r="C2493">
            <v>6128.18</v>
          </cell>
          <cell r="D2493">
            <v>6088.74</v>
          </cell>
          <cell r="E2493">
            <v>6101.24</v>
          </cell>
          <cell r="F2493">
            <v>6101.24</v>
          </cell>
        </row>
        <row r="2494">
          <cell r="A2494">
            <v>45684</v>
          </cell>
          <cell r="B2494">
            <v>5969.04</v>
          </cell>
          <cell r="C2494">
            <v>6017.17</v>
          </cell>
          <cell r="D2494">
            <v>5962.92</v>
          </cell>
          <cell r="E2494">
            <v>6012.28</v>
          </cell>
          <cell r="F2494">
            <v>6012.28</v>
          </cell>
        </row>
        <row r="2495">
          <cell r="A2495">
            <v>45685</v>
          </cell>
          <cell r="B2495">
            <v>6026.97</v>
          </cell>
          <cell r="C2495">
            <v>6074.54</v>
          </cell>
          <cell r="D2495">
            <v>5994.63</v>
          </cell>
          <cell r="E2495">
            <v>6067.7</v>
          </cell>
          <cell r="F2495">
            <v>6067.7</v>
          </cell>
        </row>
        <row r="2496">
          <cell r="A2496">
            <v>45686</v>
          </cell>
          <cell r="B2496">
            <v>6057.7</v>
          </cell>
          <cell r="C2496">
            <v>6062.83</v>
          </cell>
          <cell r="D2496">
            <v>6012.96</v>
          </cell>
          <cell r="E2496">
            <v>6039.31</v>
          </cell>
          <cell r="F2496">
            <v>6039.31</v>
          </cell>
        </row>
        <row r="2497">
          <cell r="A2497">
            <v>45687</v>
          </cell>
          <cell r="B2497">
            <v>6050.75</v>
          </cell>
          <cell r="C2497">
            <v>6086.64</v>
          </cell>
          <cell r="D2497">
            <v>6027.46</v>
          </cell>
          <cell r="E2497">
            <v>6071.17</v>
          </cell>
          <cell r="F2497">
            <v>6071.17</v>
          </cell>
        </row>
        <row r="2498">
          <cell r="A2498">
            <v>45688</v>
          </cell>
          <cell r="B2498">
            <v>6096.79</v>
          </cell>
          <cell r="C2498">
            <v>6120.91</v>
          </cell>
          <cell r="D2498">
            <v>6030.93</v>
          </cell>
          <cell r="E2498">
            <v>6040.53</v>
          </cell>
          <cell r="F2498">
            <v>6040.53</v>
          </cell>
        </row>
        <row r="2499">
          <cell r="A2499">
            <v>45691</v>
          </cell>
          <cell r="B2499">
            <v>5969.65</v>
          </cell>
          <cell r="C2499">
            <v>6022.13</v>
          </cell>
          <cell r="D2499">
            <v>5923.93</v>
          </cell>
          <cell r="E2499">
            <v>5994.57</v>
          </cell>
          <cell r="F2499">
            <v>5994.57</v>
          </cell>
        </row>
        <row r="2500">
          <cell r="A2500">
            <v>45692</v>
          </cell>
          <cell r="B2500">
            <v>5998.14</v>
          </cell>
          <cell r="C2500">
            <v>6042.48</v>
          </cell>
          <cell r="D2500">
            <v>5990.87</v>
          </cell>
          <cell r="E2500">
            <v>6037.88</v>
          </cell>
          <cell r="F2500">
            <v>6037.88</v>
          </cell>
        </row>
        <row r="2501">
          <cell r="A2501">
            <v>45693</v>
          </cell>
          <cell r="B2501">
            <v>6020.45</v>
          </cell>
          <cell r="C2501">
            <v>6062.86</v>
          </cell>
          <cell r="D2501">
            <v>6007.06</v>
          </cell>
          <cell r="E2501">
            <v>6061.48</v>
          </cell>
          <cell r="F2501">
            <v>6061.48</v>
          </cell>
        </row>
        <row r="2502">
          <cell r="A2502">
            <v>45694</v>
          </cell>
          <cell r="B2502">
            <v>6072.22</v>
          </cell>
          <cell r="C2502">
            <v>6084.03</v>
          </cell>
          <cell r="D2502">
            <v>6046.83</v>
          </cell>
          <cell r="E2502">
            <v>6083.57</v>
          </cell>
          <cell r="F2502">
            <v>6083.57</v>
          </cell>
        </row>
        <row r="2503">
          <cell r="A2503">
            <v>45695</v>
          </cell>
          <cell r="B2503">
            <v>6083.13</v>
          </cell>
          <cell r="C2503">
            <v>6101.28</v>
          </cell>
          <cell r="D2503">
            <v>6019.96</v>
          </cell>
          <cell r="E2503">
            <v>6025.99</v>
          </cell>
          <cell r="F2503">
            <v>6025.99</v>
          </cell>
        </row>
        <row r="2504">
          <cell r="A2504">
            <v>45698</v>
          </cell>
          <cell r="B2504">
            <v>6046.4</v>
          </cell>
          <cell r="C2504">
            <v>6073.38</v>
          </cell>
          <cell r="D2504">
            <v>6044.84</v>
          </cell>
          <cell r="E2504">
            <v>6066.44</v>
          </cell>
          <cell r="F2504">
            <v>6066.44</v>
          </cell>
        </row>
        <row r="2505">
          <cell r="A2505">
            <v>45699</v>
          </cell>
          <cell r="B2505">
            <v>6049.32</v>
          </cell>
          <cell r="C2505">
            <v>6076.28</v>
          </cell>
          <cell r="D2505">
            <v>6042.34</v>
          </cell>
          <cell r="E2505">
            <v>6068.5</v>
          </cell>
          <cell r="F2505">
            <v>6068.5</v>
          </cell>
        </row>
        <row r="2506">
          <cell r="A2506">
            <v>45700</v>
          </cell>
          <cell r="B2506">
            <v>6025.08</v>
          </cell>
          <cell r="C2506">
            <v>6063</v>
          </cell>
          <cell r="D2506">
            <v>6003</v>
          </cell>
          <cell r="E2506">
            <v>6051.97</v>
          </cell>
          <cell r="F2506">
            <v>6051.97</v>
          </cell>
        </row>
        <row r="2507">
          <cell r="A2507">
            <v>45701</v>
          </cell>
          <cell r="B2507">
            <v>6060.59</v>
          </cell>
          <cell r="C2507">
            <v>6116.91</v>
          </cell>
          <cell r="D2507">
            <v>6050.95</v>
          </cell>
          <cell r="E2507">
            <v>6115.07</v>
          </cell>
          <cell r="F2507">
            <v>6115.07</v>
          </cell>
        </row>
        <row r="2508">
          <cell r="A2508">
            <v>45702</v>
          </cell>
          <cell r="B2508">
            <v>6115.52</v>
          </cell>
          <cell r="C2508">
            <v>6127.47</v>
          </cell>
          <cell r="D2508">
            <v>6107.62</v>
          </cell>
          <cell r="E2508">
            <v>6114.63</v>
          </cell>
          <cell r="F2508">
            <v>6114.63</v>
          </cell>
        </row>
        <row r="2509">
          <cell r="A2509">
            <v>45706</v>
          </cell>
          <cell r="B2509">
            <v>6121.6</v>
          </cell>
          <cell r="C2509">
            <v>6129.63</v>
          </cell>
          <cell r="D2509">
            <v>6099.51</v>
          </cell>
          <cell r="E2509">
            <v>6129.58</v>
          </cell>
          <cell r="F2509">
            <v>6129.58</v>
          </cell>
        </row>
        <row r="2510">
          <cell r="A2510">
            <v>45707</v>
          </cell>
          <cell r="B2510">
            <v>6117.76</v>
          </cell>
          <cell r="C2510">
            <v>6147.43</v>
          </cell>
          <cell r="D2510">
            <v>6111.15</v>
          </cell>
          <cell r="E2510">
            <v>6144.15</v>
          </cell>
          <cell r="F2510">
            <v>6144.15</v>
          </cell>
        </row>
        <row r="2511">
          <cell r="A2511">
            <v>45708</v>
          </cell>
          <cell r="B2511">
            <v>6134.5</v>
          </cell>
          <cell r="C2511">
            <v>6134.5</v>
          </cell>
          <cell r="D2511">
            <v>6084.59</v>
          </cell>
          <cell r="E2511">
            <v>6117.52</v>
          </cell>
          <cell r="F2511">
            <v>6117.52</v>
          </cell>
        </row>
        <row r="2512">
          <cell r="A2512">
            <v>45709</v>
          </cell>
          <cell r="B2512">
            <v>6114.1</v>
          </cell>
          <cell r="C2512">
            <v>6114.82</v>
          </cell>
          <cell r="D2512">
            <v>6008.56</v>
          </cell>
          <cell r="E2512">
            <v>6013.13</v>
          </cell>
          <cell r="F2512">
            <v>6013.13</v>
          </cell>
        </row>
        <row r="2513">
          <cell r="A2513">
            <v>45712</v>
          </cell>
          <cell r="B2513">
            <v>6026.69</v>
          </cell>
          <cell r="C2513">
            <v>6043.65</v>
          </cell>
          <cell r="D2513">
            <v>5977.83</v>
          </cell>
          <cell r="E2513">
            <v>5983.25</v>
          </cell>
          <cell r="F2513">
            <v>5983.25</v>
          </cell>
        </row>
        <row r="2514">
          <cell r="A2514">
            <v>45713</v>
          </cell>
          <cell r="B2514">
            <v>5982.73</v>
          </cell>
          <cell r="C2514">
            <v>5992.65</v>
          </cell>
          <cell r="D2514">
            <v>5908.49</v>
          </cell>
          <cell r="E2514">
            <v>5955.25</v>
          </cell>
          <cell r="F2514">
            <v>5955.25</v>
          </cell>
        </row>
        <row r="2515">
          <cell r="A2515">
            <v>45714</v>
          </cell>
          <cell r="B2515">
            <v>5970.87</v>
          </cell>
          <cell r="C2515">
            <v>6009.82</v>
          </cell>
          <cell r="D2515">
            <v>5932.69</v>
          </cell>
          <cell r="E2515">
            <v>5956.06</v>
          </cell>
          <cell r="F2515">
            <v>5956.06</v>
          </cell>
        </row>
        <row r="2516">
          <cell r="A2516">
            <v>45715</v>
          </cell>
          <cell r="B2516">
            <v>5981.88</v>
          </cell>
          <cell r="C2516">
            <v>5993.69</v>
          </cell>
          <cell r="D2516">
            <v>5858.78</v>
          </cell>
          <cell r="E2516">
            <v>5861.57</v>
          </cell>
          <cell r="F2516">
            <v>5861.57</v>
          </cell>
        </row>
        <row r="2517">
          <cell r="A2517">
            <v>45716</v>
          </cell>
          <cell r="B2517">
            <v>5856.74</v>
          </cell>
          <cell r="C2517">
            <v>5959.4</v>
          </cell>
          <cell r="D2517">
            <v>5837.66</v>
          </cell>
          <cell r="E2517">
            <v>5954.5</v>
          </cell>
          <cell r="F2517">
            <v>5954.5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2:I16" headerRowDxfId="6" dataDxfId="5" totalsRowDxfId="4">
  <tableColumns count="4">
    <tableColumn id="1" xr3:uid="{00000000-0010-0000-0000-000001000000}" name="Financial Ratio" dataDxfId="3"/>
    <tableColumn id="2" xr3:uid="{00000000-0010-0000-0000-000002000000}" name="Industrial " dataDxfId="2"/>
    <tableColumn id="3" xr3:uid="{00000000-0010-0000-0000-000003000000}" name="SBUX" dataDxfId="1"/>
    <tableColumn id="4" xr3:uid="{00000000-0010-0000-0000-000004000000}" name="Formular" dataDxfId="0"/>
  </tableColumns>
  <tableStyleInfo name="Ratio Analys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SBUX/key-statistics/" TargetMode="External"/><Relationship Id="rId2" Type="http://schemas.openxmlformats.org/officeDocument/2006/relationships/hyperlink" Target="https://s203.q4cdn.com/326826266/files/doc_financials/2024/ar/Starbucks-Fiscal-2024-Annual-Report.pdf" TargetMode="External"/><Relationship Id="rId1" Type="http://schemas.openxmlformats.org/officeDocument/2006/relationships/hyperlink" Target="https://investor.starbucks.com/news/financial-releases/news-details/2024/Starbucks-Reports-Q4-and-Full-Fiscal-Year-2024-Results/default.aspx" TargetMode="External"/><Relationship Id="rId6" Type="http://schemas.openxmlformats.org/officeDocument/2006/relationships/hyperlink" Target="https://www.kroll.com/en/insights/publications/cost-of-capital" TargetMode="External"/><Relationship Id="rId5" Type="http://schemas.openxmlformats.org/officeDocument/2006/relationships/hyperlink" Target="https://finance.yahoo.com/quote/SBUX/key-statistics/" TargetMode="External"/><Relationship Id="rId4" Type="http://schemas.openxmlformats.org/officeDocument/2006/relationships/hyperlink" Target="https://fred.stlouisfed.org/series/D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zoomScale="89" zoomScaleNormal="80" workbookViewId="0">
      <selection activeCell="A3" sqref="A3"/>
    </sheetView>
  </sheetViews>
  <sheetFormatPr defaultColWidth="12.6640625" defaultRowHeight="15" customHeight="1" x14ac:dyDescent="0.3"/>
  <cols>
    <col min="1" max="1" width="40.6640625" customWidth="1"/>
    <col min="2" max="2" width="49" customWidth="1"/>
    <col min="3" max="3" width="62.77734375" customWidth="1"/>
    <col min="4" max="4" width="16.6640625" customWidth="1"/>
    <col min="5" max="5" width="32.88671875" style="52" customWidth="1"/>
    <col min="6" max="6" width="31.21875" customWidth="1"/>
    <col min="7" max="7" width="23.5546875" customWidth="1"/>
    <col min="8" max="8" width="23.88671875" customWidth="1"/>
    <col min="9" max="9" width="87.44140625" customWidth="1"/>
    <col min="10" max="27" width="8.6640625" customWidth="1"/>
  </cols>
  <sheetData>
    <row r="1" spans="1:27" ht="79.2" customHeight="1" x14ac:dyDescent="0.3">
      <c r="A1" s="126" t="s">
        <v>0</v>
      </c>
      <c r="B1" s="127"/>
      <c r="C1" s="128"/>
      <c r="D1" s="48"/>
      <c r="E1" s="1"/>
      <c r="F1" s="129" t="s">
        <v>1</v>
      </c>
      <c r="G1" s="130"/>
      <c r="H1" s="130"/>
      <c r="I1" s="70"/>
      <c r="J1" s="8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2.4" customHeight="1" x14ac:dyDescent="0.3">
      <c r="A2" s="3" t="s">
        <v>2</v>
      </c>
      <c r="B2" s="4"/>
      <c r="C2" s="5">
        <v>36176.199999999997</v>
      </c>
      <c r="D2" s="49"/>
      <c r="E2" s="6"/>
      <c r="F2" s="75" t="s">
        <v>3</v>
      </c>
      <c r="G2" s="76" t="s">
        <v>4</v>
      </c>
      <c r="H2" s="77" t="s">
        <v>5</v>
      </c>
      <c r="I2" s="75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3.25" customHeight="1" x14ac:dyDescent="0.3">
      <c r="A3" s="7" t="s">
        <v>7</v>
      </c>
      <c r="B3" s="4" t="s">
        <v>8</v>
      </c>
      <c r="C3" s="5">
        <v>2810.3</v>
      </c>
      <c r="D3" s="49"/>
      <c r="E3" s="79" t="s">
        <v>134</v>
      </c>
      <c r="F3" s="55" t="s">
        <v>9</v>
      </c>
      <c r="G3" s="56">
        <v>1.95</v>
      </c>
      <c r="H3" s="57">
        <f>B40/D40</f>
        <v>0.75495038588754126</v>
      </c>
      <c r="I3" s="58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3">
      <c r="A4" s="7" t="s">
        <v>11</v>
      </c>
      <c r="B4" s="4" t="s">
        <v>12</v>
      </c>
      <c r="C4" s="5">
        <v>9668.2000000000007</v>
      </c>
      <c r="D4" s="49"/>
      <c r="E4" s="1"/>
      <c r="F4" s="55" t="s">
        <v>13</v>
      </c>
      <c r="G4" s="56">
        <v>1.03</v>
      </c>
      <c r="H4" s="57">
        <f>(B40-B38)/D40</f>
        <v>0.55899669239250271</v>
      </c>
      <c r="I4" s="58" t="s">
        <v>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3">
      <c r="A5" s="8" t="s">
        <v>8</v>
      </c>
      <c r="B5" s="4"/>
      <c r="C5" s="9">
        <v>11180.6</v>
      </c>
      <c r="D5" s="50"/>
      <c r="E5" s="1"/>
      <c r="F5" s="55" t="s">
        <v>15</v>
      </c>
      <c r="G5" s="56">
        <v>0.82</v>
      </c>
      <c r="H5" s="57">
        <f>B35/D40</f>
        <v>0.36231532524807053</v>
      </c>
      <c r="I5" s="59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">
      <c r="A6" s="8" t="s">
        <v>17</v>
      </c>
      <c r="B6" s="4"/>
      <c r="C6" s="9">
        <v>15286.5</v>
      </c>
      <c r="D6" s="50"/>
      <c r="E6" s="79" t="s">
        <v>141</v>
      </c>
      <c r="F6" s="55" t="s">
        <v>18</v>
      </c>
      <c r="G6" s="56">
        <v>1.21</v>
      </c>
      <c r="H6" s="57">
        <f>D45/D31</f>
        <v>-5.2113658353042354</v>
      </c>
      <c r="I6" s="58" t="s">
        <v>19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3">
      <c r="A7" s="8" t="s">
        <v>20</v>
      </c>
      <c r="B7" s="4"/>
      <c r="C7" s="9">
        <v>565.6</v>
      </c>
      <c r="D7" s="50"/>
      <c r="E7" s="1" t="s">
        <v>21</v>
      </c>
      <c r="F7" s="55" t="s">
        <v>21</v>
      </c>
      <c r="G7" s="60">
        <v>7</v>
      </c>
      <c r="H7" s="57">
        <f>C3/B38</f>
        <v>1.581218702526304</v>
      </c>
      <c r="I7" s="58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3">
      <c r="A8" s="8" t="s">
        <v>23</v>
      </c>
      <c r="B8" s="4"/>
      <c r="C8" s="5">
        <v>1512.6</v>
      </c>
      <c r="D8" s="49"/>
      <c r="E8" s="79" t="s">
        <v>135</v>
      </c>
      <c r="F8" s="55" t="s">
        <v>24</v>
      </c>
      <c r="G8" s="61">
        <v>9.0999999999999998E-2</v>
      </c>
      <c r="H8" s="62">
        <f>C4/C2</f>
        <v>0.26725305587651554</v>
      </c>
      <c r="I8" s="58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3">
      <c r="A9" s="8" t="s">
        <v>26</v>
      </c>
      <c r="B9" s="4"/>
      <c r="C9" s="9">
        <v>2523.3000000000002</v>
      </c>
      <c r="D9" s="50"/>
      <c r="E9" s="6"/>
      <c r="F9" s="55" t="s">
        <v>27</v>
      </c>
      <c r="G9" s="63">
        <v>0.1</v>
      </c>
      <c r="H9" s="64">
        <f>C12/C2</f>
        <v>0.14951266302154456</v>
      </c>
      <c r="I9" s="58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3">
      <c r="A10" s="8" t="s">
        <v>29</v>
      </c>
      <c r="B10" s="4"/>
      <c r="C10" s="9">
        <v>0</v>
      </c>
      <c r="D10" s="50"/>
      <c r="E10" s="6"/>
      <c r="F10" s="55" t="s">
        <v>30</v>
      </c>
      <c r="G10" s="61">
        <v>2.1000000000000001E-2</v>
      </c>
      <c r="H10" s="65">
        <f>C17/C2</f>
        <v>0.10396061498996578</v>
      </c>
      <c r="I10" s="58" t="s">
        <v>31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3">
      <c r="A11" s="10" t="s">
        <v>32</v>
      </c>
      <c r="B11" s="11"/>
      <c r="C11" s="5">
        <v>31068.6</v>
      </c>
      <c r="D11" s="49"/>
      <c r="E11" s="6"/>
      <c r="F11" s="55" t="s">
        <v>33</v>
      </c>
      <c r="G11" s="61">
        <v>0.06</v>
      </c>
      <c r="H11" s="62">
        <f>C17/B41</f>
        <v>0.12000587122239489</v>
      </c>
      <c r="I11" s="58" t="s">
        <v>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3">
      <c r="A12" s="7" t="s">
        <v>35</v>
      </c>
      <c r="B12" s="4"/>
      <c r="C12" s="5">
        <v>5408.8</v>
      </c>
      <c r="D12" s="49"/>
      <c r="E12" s="6"/>
      <c r="F12" s="55" t="s">
        <v>36</v>
      </c>
      <c r="G12" s="61">
        <v>0.21</v>
      </c>
      <c r="H12" s="62">
        <f>C17/D31</f>
        <v>-0.5053886261019136</v>
      </c>
      <c r="I12" s="58" t="s">
        <v>37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3">
      <c r="A13" s="12" t="s">
        <v>38</v>
      </c>
      <c r="B13" s="4"/>
      <c r="C13" s="9">
        <v>122.8</v>
      </c>
      <c r="D13" s="50"/>
      <c r="E13" s="6"/>
      <c r="F13" s="55" t="s">
        <v>39</v>
      </c>
      <c r="G13" s="63">
        <v>0.1</v>
      </c>
      <c r="H13" s="62">
        <f>C17/B41</f>
        <v>0.12000587122239489</v>
      </c>
      <c r="I13" s="58" t="s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 x14ac:dyDescent="0.3">
      <c r="A14" s="12" t="s">
        <v>41</v>
      </c>
      <c r="B14" s="4"/>
      <c r="C14" s="9">
        <v>-562</v>
      </c>
      <c r="D14" s="50"/>
      <c r="E14" s="6"/>
      <c r="F14" s="55" t="s">
        <v>42</v>
      </c>
      <c r="G14" s="66">
        <v>8.5</v>
      </c>
      <c r="H14" s="67">
        <f>C18</f>
        <v>3.31</v>
      </c>
      <c r="I14" s="5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">
      <c r="A15" s="7" t="s">
        <v>43</v>
      </c>
      <c r="B15" s="13" t="s">
        <v>44</v>
      </c>
      <c r="C15" s="5">
        <v>4969.6000000000004</v>
      </c>
      <c r="D15" s="49"/>
      <c r="E15" s="79" t="s">
        <v>136</v>
      </c>
      <c r="F15" s="55" t="s">
        <v>45</v>
      </c>
      <c r="G15" s="68">
        <v>10.3</v>
      </c>
      <c r="H15" s="57">
        <f>C19/C18</f>
        <v>29.114803625377643</v>
      </c>
      <c r="I15" s="58" t="s">
        <v>146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 x14ac:dyDescent="0.3">
      <c r="A16" s="7" t="s">
        <v>46</v>
      </c>
      <c r="B16" s="14"/>
      <c r="C16" s="5">
        <v>1207.3</v>
      </c>
      <c r="D16" s="49"/>
      <c r="E16" s="79" t="s">
        <v>138</v>
      </c>
      <c r="F16" s="55" t="s">
        <v>138</v>
      </c>
      <c r="G16" s="55"/>
      <c r="H16" s="74">
        <f>(C22*C21)/C17</f>
        <v>0.70157036879470325</v>
      </c>
      <c r="I16" s="58" t="s">
        <v>145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 x14ac:dyDescent="0.3">
      <c r="A17" s="7" t="s">
        <v>47</v>
      </c>
      <c r="B17" s="14" t="s">
        <v>48</v>
      </c>
      <c r="C17" s="9">
        <v>3760.9</v>
      </c>
      <c r="D17" s="50"/>
      <c r="E17" s="79" t="s">
        <v>142</v>
      </c>
      <c r="F17" s="55" t="s">
        <v>137</v>
      </c>
      <c r="G17" s="55"/>
      <c r="H17" s="74">
        <f>H12*(1-H16)</f>
        <v>-0.15082294130294568</v>
      </c>
      <c r="I17" s="58" t="s">
        <v>139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6" x14ac:dyDescent="0.3">
      <c r="A18" s="7" t="s">
        <v>49</v>
      </c>
      <c r="B18" s="14" t="s">
        <v>50</v>
      </c>
      <c r="C18" s="5">
        <v>3.31</v>
      </c>
      <c r="D18" s="49"/>
      <c r="E18" s="6"/>
      <c r="F18" s="15"/>
      <c r="G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6" x14ac:dyDescent="0.3">
      <c r="A19" s="53" t="s">
        <v>51</v>
      </c>
      <c r="B19" s="54"/>
      <c r="C19" s="69">
        <v>96.37</v>
      </c>
      <c r="D19" s="49"/>
      <c r="E19" s="6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6" x14ac:dyDescent="0.3">
      <c r="A20" s="70" t="s">
        <v>52</v>
      </c>
      <c r="B20" s="71" t="s">
        <v>53</v>
      </c>
      <c r="C20" s="72">
        <v>0.23799999999999999</v>
      </c>
      <c r="D20" s="49"/>
      <c r="E20" s="6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6" x14ac:dyDescent="0.3">
      <c r="A21" s="70" t="s">
        <v>143</v>
      </c>
      <c r="B21" s="71"/>
      <c r="C21" s="73">
        <v>1137.3</v>
      </c>
      <c r="D21" s="49"/>
      <c r="E21" s="6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6" x14ac:dyDescent="0.3">
      <c r="A22" s="81" t="s">
        <v>140</v>
      </c>
      <c r="B22" s="82"/>
      <c r="C22" s="83">
        <v>2.3199999999999998</v>
      </c>
      <c r="D22" s="51"/>
      <c r="E22" s="49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98.4" customHeight="1" x14ac:dyDescent="0.3">
      <c r="A23" s="131" t="s">
        <v>54</v>
      </c>
      <c r="B23" s="132"/>
      <c r="C23" s="132"/>
      <c r="D23" s="132"/>
      <c r="E23" s="49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5" customHeight="1" x14ac:dyDescent="0.3">
      <c r="A24" s="89" t="s">
        <v>55</v>
      </c>
      <c r="B24" s="90"/>
      <c r="C24" s="89" t="s">
        <v>56</v>
      </c>
      <c r="D24" s="91"/>
      <c r="E24" s="8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7" ht="16.5" customHeight="1" x14ac:dyDescent="0.3">
      <c r="A25" s="86" t="s">
        <v>57</v>
      </c>
      <c r="B25" s="87">
        <v>276</v>
      </c>
      <c r="C25" s="88" t="s">
        <v>58</v>
      </c>
      <c r="D25" s="84">
        <v>1.1000000000000001</v>
      </c>
      <c r="E25" s="2"/>
      <c r="F25" s="17" t="s">
        <v>59</v>
      </c>
      <c r="G25" s="18"/>
      <c r="H25" s="1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7" ht="16.5" customHeight="1" x14ac:dyDescent="0.3">
      <c r="A26" s="8" t="s">
        <v>60</v>
      </c>
      <c r="B26" s="4">
        <v>463.9</v>
      </c>
      <c r="C26" s="7" t="s">
        <v>61</v>
      </c>
      <c r="D26" s="9">
        <v>322.60000000000002</v>
      </c>
      <c r="E26" s="2"/>
      <c r="F26" s="19" t="s">
        <v>62</v>
      </c>
      <c r="G26" s="20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7" ht="16.5" customHeight="1" x14ac:dyDescent="0.3">
      <c r="A27" s="8" t="s">
        <v>63</v>
      </c>
      <c r="B27" s="11">
        <v>8665.5</v>
      </c>
      <c r="C27" s="7" t="s">
        <v>64</v>
      </c>
      <c r="D27" s="5">
        <v>-7343.8</v>
      </c>
      <c r="E27" s="2"/>
      <c r="F27" s="19" t="s">
        <v>65</v>
      </c>
      <c r="G27" s="18">
        <v>2400</v>
      </c>
      <c r="H27" s="18" t="s">
        <v>66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7" ht="16.5" customHeight="1" x14ac:dyDescent="0.3">
      <c r="A28" s="8" t="s">
        <v>67</v>
      </c>
      <c r="B28" s="4">
        <v>9286.2000000000007</v>
      </c>
      <c r="C28" s="7" t="s">
        <v>68</v>
      </c>
      <c r="D28" s="5">
        <v>-428.8</v>
      </c>
      <c r="E28" s="2"/>
      <c r="F28" s="18" t="s">
        <v>69</v>
      </c>
      <c r="G28" s="18">
        <v>1133.5</v>
      </c>
      <c r="H28" s="18" t="s">
        <v>66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7" ht="16.5" customHeight="1" x14ac:dyDescent="0.3">
      <c r="A29" s="8" t="s">
        <v>70</v>
      </c>
      <c r="B29" s="4">
        <v>1766.7</v>
      </c>
      <c r="C29" s="7" t="s">
        <v>71</v>
      </c>
      <c r="D29" s="9">
        <v>-7448.9</v>
      </c>
      <c r="E29" s="2"/>
      <c r="F29" s="18" t="s">
        <v>72</v>
      </c>
      <c r="G29" s="18">
        <v>1142.5999999999999</v>
      </c>
      <c r="H29" s="18" t="s">
        <v>66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7" ht="16.5" customHeight="1" x14ac:dyDescent="0.3">
      <c r="A30" s="8" t="s">
        <v>73</v>
      </c>
      <c r="B30" s="4">
        <v>617</v>
      </c>
      <c r="C30" s="7" t="s">
        <v>74</v>
      </c>
      <c r="D30" s="5">
        <v>7.3</v>
      </c>
      <c r="E30" s="2"/>
      <c r="F30" s="18"/>
      <c r="G30" s="18"/>
      <c r="H30" s="1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7" ht="16.5" customHeight="1" x14ac:dyDescent="0.3">
      <c r="A31" s="8" t="s">
        <v>75</v>
      </c>
      <c r="B31" s="11">
        <v>100.9</v>
      </c>
      <c r="C31" s="10" t="s">
        <v>76</v>
      </c>
      <c r="D31" s="5">
        <v>-7441.6</v>
      </c>
      <c r="E31" s="2"/>
      <c r="F31" s="17" t="s">
        <v>77</v>
      </c>
      <c r="G31" s="18"/>
      <c r="H31" s="1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7" ht="16.5" customHeight="1" x14ac:dyDescent="0.3">
      <c r="A32" s="8" t="s">
        <v>78</v>
      </c>
      <c r="B32" s="4">
        <v>3315.7</v>
      </c>
      <c r="C32" s="16" t="s">
        <v>79</v>
      </c>
      <c r="D32" s="5"/>
      <c r="E32" s="2"/>
      <c r="F32" s="18" t="s">
        <v>80</v>
      </c>
      <c r="G32" s="18"/>
      <c r="H32" s="1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7" ht="16.5" customHeight="1" x14ac:dyDescent="0.3">
      <c r="A33" s="22" t="s">
        <v>81</v>
      </c>
      <c r="B33" s="4">
        <f>SUM(B25:B32)</f>
        <v>24491.9</v>
      </c>
      <c r="C33" s="12" t="s">
        <v>82</v>
      </c>
      <c r="D33" s="9">
        <v>1595.5</v>
      </c>
      <c r="E33" s="2"/>
      <c r="F33" s="18" t="s">
        <v>167</v>
      </c>
      <c r="G33" s="18"/>
      <c r="H33" s="1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7" ht="16.5" customHeight="1" x14ac:dyDescent="0.3">
      <c r="A34" s="23" t="s">
        <v>83</v>
      </c>
      <c r="B34" s="4"/>
      <c r="C34" s="12" t="s">
        <v>84</v>
      </c>
      <c r="D34" s="9">
        <v>2194.6999999999998</v>
      </c>
      <c r="E34" s="2"/>
      <c r="F34" s="78" t="s">
        <v>144</v>
      </c>
      <c r="G34" s="78"/>
      <c r="H34" s="7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7" ht="16.5" customHeight="1" x14ac:dyDescent="0.3">
      <c r="A35" s="8" t="s">
        <v>85</v>
      </c>
      <c r="B35" s="11">
        <v>3286.2</v>
      </c>
      <c r="C35" s="12" t="s">
        <v>86</v>
      </c>
      <c r="D35" s="9">
        <v>786.6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7" ht="16.5" customHeight="1" x14ac:dyDescent="0.3">
      <c r="A36" s="8" t="s">
        <v>87</v>
      </c>
      <c r="B36" s="24">
        <v>257</v>
      </c>
      <c r="C36" s="12" t="s">
        <v>88</v>
      </c>
      <c r="D36" s="5">
        <v>1463.1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7" ht="16.5" customHeight="1" x14ac:dyDescent="0.3">
      <c r="A37" s="8" t="s">
        <v>89</v>
      </c>
      <c r="B37" s="25">
        <v>1213.8</v>
      </c>
      <c r="C37" s="12" t="s">
        <v>90</v>
      </c>
      <c r="D37" s="5">
        <v>1781.2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7" ht="16.5" customHeight="1" x14ac:dyDescent="0.3">
      <c r="A38" s="8" t="s">
        <v>91</v>
      </c>
      <c r="B38" s="11">
        <v>1777.3</v>
      </c>
      <c r="C38" s="12" t="s">
        <v>92</v>
      </c>
      <c r="D38" s="5"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ht="16.5" customHeight="1" x14ac:dyDescent="0.3">
      <c r="A39" s="8" t="s">
        <v>93</v>
      </c>
      <c r="B39" s="4">
        <v>313.10000000000002</v>
      </c>
      <c r="C39" s="26" t="s">
        <v>94</v>
      </c>
      <c r="D39" s="5">
        <v>1248.9000000000001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7" ht="16.5" customHeight="1" x14ac:dyDescent="0.3">
      <c r="A40" s="16" t="s">
        <v>95</v>
      </c>
      <c r="B40" s="4">
        <v>6847.4</v>
      </c>
      <c r="C40" s="10" t="s">
        <v>96</v>
      </c>
      <c r="D40" s="5">
        <v>9070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7" ht="16.5" customHeight="1" x14ac:dyDescent="0.3">
      <c r="A41" s="10" t="s">
        <v>97</v>
      </c>
      <c r="B41" s="11">
        <v>31339.3</v>
      </c>
      <c r="C41" s="5" t="s">
        <v>98</v>
      </c>
      <c r="D41" s="5">
        <v>14319.5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7" ht="16.5" customHeight="1" x14ac:dyDescent="0.3">
      <c r="A42" s="7"/>
      <c r="B42" s="4"/>
      <c r="C42" s="5" t="s">
        <v>99</v>
      </c>
      <c r="D42" s="5">
        <v>8771.6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ht="16.5" customHeight="1" x14ac:dyDescent="0.3">
      <c r="A43" s="7"/>
      <c r="B43" s="4"/>
      <c r="C43" s="12" t="s">
        <v>100</v>
      </c>
      <c r="D43" s="9">
        <v>5963.6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7" ht="16.5" customHeight="1" x14ac:dyDescent="0.3">
      <c r="A44" s="7"/>
      <c r="B44" s="4"/>
      <c r="C44" s="7" t="s">
        <v>101</v>
      </c>
      <c r="D44" s="5">
        <v>656.2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7" ht="16.5" customHeight="1" x14ac:dyDescent="0.3">
      <c r="A45" s="7"/>
      <c r="B45" s="4"/>
      <c r="C45" s="10" t="s">
        <v>102</v>
      </c>
      <c r="D45" s="5">
        <v>38780.9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7" ht="16.5" customHeight="1" x14ac:dyDescent="0.3">
      <c r="A46" s="7"/>
      <c r="B46" s="4"/>
      <c r="C46" s="10" t="s">
        <v>103</v>
      </c>
      <c r="D46" s="5">
        <v>31339.3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7" ht="16.5" customHeight="1" x14ac:dyDescent="0.3">
      <c r="A47" s="2"/>
      <c r="B47" s="27"/>
      <c r="C47" s="15"/>
      <c r="D47" s="28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7" ht="15.6" x14ac:dyDescent="0.3">
      <c r="A48" s="2"/>
      <c r="B48" s="27"/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6" x14ac:dyDescent="0.3">
      <c r="A49" s="2"/>
      <c r="B49" s="27"/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6" x14ac:dyDescent="0.3">
      <c r="A50" s="2"/>
      <c r="B50" s="27"/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6" x14ac:dyDescent="0.3">
      <c r="A51" s="2"/>
      <c r="B51" s="27"/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6" x14ac:dyDescent="0.3">
      <c r="A52" s="2"/>
      <c r="B52" s="27"/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6" x14ac:dyDescent="0.3">
      <c r="A53" s="2"/>
      <c r="B53" s="27"/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6" x14ac:dyDescent="0.3">
      <c r="A54" s="2"/>
      <c r="B54" s="27"/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6" x14ac:dyDescent="0.3">
      <c r="A55" s="2"/>
      <c r="B55" s="27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6" x14ac:dyDescent="0.3">
      <c r="A56" s="2"/>
      <c r="B56" s="27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6" x14ac:dyDescent="0.3">
      <c r="A57" s="2"/>
      <c r="B57" s="27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6" x14ac:dyDescent="0.3">
      <c r="A58" s="2"/>
      <c r="B58" s="27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6" x14ac:dyDescent="0.3">
      <c r="A59" s="2"/>
      <c r="B59" s="27"/>
      <c r="C59" s="6"/>
      <c r="D59" s="6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6" x14ac:dyDescent="0.3">
      <c r="A60" s="2"/>
      <c r="B60" s="27"/>
      <c r="C60" s="6"/>
      <c r="D60" s="6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6" x14ac:dyDescent="0.3">
      <c r="A61" s="2"/>
      <c r="B61" s="27"/>
      <c r="C61" s="6"/>
      <c r="D61" s="6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6" x14ac:dyDescent="0.3">
      <c r="A62" s="2"/>
      <c r="B62" s="27"/>
      <c r="C62" s="6"/>
      <c r="D62" s="6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6" x14ac:dyDescent="0.3">
      <c r="A63" s="2"/>
      <c r="B63" s="27"/>
      <c r="C63" s="6"/>
      <c r="D63" s="6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6" x14ac:dyDescent="0.3">
      <c r="A64" s="2"/>
      <c r="B64" s="27"/>
      <c r="C64" s="6"/>
      <c r="D64" s="6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6" x14ac:dyDescent="0.3">
      <c r="A65" s="2"/>
      <c r="B65" s="27"/>
      <c r="C65" s="6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6" x14ac:dyDescent="0.3">
      <c r="A66" s="2"/>
      <c r="B66" s="27"/>
      <c r="C66" s="6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6" x14ac:dyDescent="0.3">
      <c r="A67" s="2"/>
      <c r="B67" s="27"/>
      <c r="C67" s="6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6" x14ac:dyDescent="0.3">
      <c r="A68" s="2"/>
      <c r="B68" s="27"/>
      <c r="C68" s="6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6" x14ac:dyDescent="0.3">
      <c r="A69" s="2"/>
      <c r="B69" s="27"/>
      <c r="C69" s="6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6" x14ac:dyDescent="0.3">
      <c r="A70" s="2"/>
      <c r="B70" s="27"/>
      <c r="C70" s="6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6" x14ac:dyDescent="0.3">
      <c r="A71" s="2"/>
      <c r="B71" s="27"/>
      <c r="C71" s="6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6" x14ac:dyDescent="0.3">
      <c r="A72" s="2"/>
      <c r="B72" s="27"/>
      <c r="C72" s="6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6" x14ac:dyDescent="0.3">
      <c r="A73" s="2"/>
      <c r="B73" s="27"/>
      <c r="C73" s="6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6" x14ac:dyDescent="0.3">
      <c r="A74" s="2"/>
      <c r="B74" s="27"/>
      <c r="C74" s="6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6" x14ac:dyDescent="0.3">
      <c r="A75" s="2"/>
      <c r="B75" s="27"/>
      <c r="C75" s="6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6" x14ac:dyDescent="0.3">
      <c r="A76" s="2"/>
      <c r="B76" s="27"/>
      <c r="C76" s="6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6" x14ac:dyDescent="0.3">
      <c r="A77" s="2"/>
      <c r="B77" s="27"/>
      <c r="C77" s="6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6" x14ac:dyDescent="0.3">
      <c r="A78" s="2"/>
      <c r="B78" s="27"/>
      <c r="C78" s="6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6" x14ac:dyDescent="0.3">
      <c r="A79" s="2"/>
      <c r="B79" s="27"/>
      <c r="C79" s="6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6" x14ac:dyDescent="0.3">
      <c r="A80" s="2"/>
      <c r="B80" s="27"/>
      <c r="C80" s="6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6" x14ac:dyDescent="0.3">
      <c r="A81" s="2"/>
      <c r="B81" s="27"/>
      <c r="C81" s="6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6" x14ac:dyDescent="0.3">
      <c r="A82" s="2"/>
      <c r="B82" s="27"/>
      <c r="C82" s="6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6" x14ac:dyDescent="0.3">
      <c r="A83" s="2"/>
      <c r="B83" s="27"/>
      <c r="C83" s="6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6" x14ac:dyDescent="0.3">
      <c r="A84" s="2"/>
      <c r="B84" s="27"/>
      <c r="C84" s="6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6" x14ac:dyDescent="0.3">
      <c r="A85" s="2"/>
      <c r="B85" s="27"/>
      <c r="C85" s="6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6" x14ac:dyDescent="0.3">
      <c r="A86" s="2"/>
      <c r="B86" s="27"/>
      <c r="C86" s="6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6" x14ac:dyDescent="0.3">
      <c r="A87" s="2"/>
      <c r="B87" s="27"/>
      <c r="C87" s="6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6" x14ac:dyDescent="0.3">
      <c r="A88" s="2"/>
      <c r="B88" s="27"/>
      <c r="C88" s="6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6" x14ac:dyDescent="0.3">
      <c r="A89" s="2"/>
      <c r="B89" s="27"/>
      <c r="C89" s="6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6" x14ac:dyDescent="0.3">
      <c r="A90" s="2"/>
      <c r="B90" s="27"/>
      <c r="C90" s="6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6" x14ac:dyDescent="0.3">
      <c r="A91" s="2"/>
      <c r="B91" s="27"/>
      <c r="C91" s="6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6" x14ac:dyDescent="0.3">
      <c r="A92" s="2"/>
      <c r="B92" s="27"/>
      <c r="C92" s="6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6" x14ac:dyDescent="0.3">
      <c r="A93" s="2"/>
      <c r="B93" s="27"/>
      <c r="C93" s="6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6" x14ac:dyDescent="0.3">
      <c r="A94" s="2"/>
      <c r="B94" s="27"/>
      <c r="C94" s="6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6" x14ac:dyDescent="0.3">
      <c r="A95" s="2"/>
      <c r="B95" s="27"/>
      <c r="C95" s="6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6" x14ac:dyDescent="0.3">
      <c r="A96" s="2"/>
      <c r="B96" s="27"/>
      <c r="C96" s="6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6" x14ac:dyDescent="0.3">
      <c r="A97" s="2"/>
      <c r="B97" s="27"/>
      <c r="C97" s="6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6" x14ac:dyDescent="0.3">
      <c r="A98" s="2"/>
      <c r="B98" s="27"/>
      <c r="C98" s="6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6" x14ac:dyDescent="0.3">
      <c r="A99" s="2"/>
      <c r="B99" s="27"/>
      <c r="C99" s="6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6" x14ac:dyDescent="0.3">
      <c r="A100" s="2"/>
      <c r="B100" s="27"/>
      <c r="C100" s="6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6" x14ac:dyDescent="0.3">
      <c r="A101" s="2"/>
      <c r="B101" s="27"/>
      <c r="C101" s="6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6" x14ac:dyDescent="0.3">
      <c r="A102" s="2"/>
      <c r="B102" s="27"/>
      <c r="C102" s="6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6" x14ac:dyDescent="0.3">
      <c r="A103" s="2"/>
      <c r="B103" s="27"/>
      <c r="C103" s="6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6" x14ac:dyDescent="0.3">
      <c r="A104" s="2"/>
      <c r="B104" s="27"/>
      <c r="C104" s="6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6" x14ac:dyDescent="0.3">
      <c r="A105" s="2"/>
      <c r="B105" s="27"/>
      <c r="C105" s="6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6" x14ac:dyDescent="0.3">
      <c r="A106" s="2"/>
      <c r="B106" s="27"/>
      <c r="C106" s="6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6" x14ac:dyDescent="0.3">
      <c r="A107" s="2"/>
      <c r="B107" s="27"/>
      <c r="C107" s="6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6" x14ac:dyDescent="0.3">
      <c r="A108" s="2"/>
      <c r="B108" s="27"/>
      <c r="C108" s="6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6" x14ac:dyDescent="0.3">
      <c r="A109" s="2"/>
      <c r="B109" s="27"/>
      <c r="C109" s="6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6" x14ac:dyDescent="0.3">
      <c r="A110" s="2"/>
      <c r="B110" s="27"/>
      <c r="C110" s="6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6" x14ac:dyDescent="0.3">
      <c r="A111" s="2"/>
      <c r="B111" s="27"/>
      <c r="C111" s="6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6" x14ac:dyDescent="0.3">
      <c r="A112" s="2"/>
      <c r="B112" s="27"/>
      <c r="C112" s="6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6" x14ac:dyDescent="0.3">
      <c r="A113" s="2"/>
      <c r="B113" s="27"/>
      <c r="C113" s="6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6" x14ac:dyDescent="0.3">
      <c r="A114" s="2"/>
      <c r="B114" s="27"/>
      <c r="C114" s="6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6" x14ac:dyDescent="0.3">
      <c r="A115" s="2"/>
      <c r="B115" s="27"/>
      <c r="C115" s="6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6" x14ac:dyDescent="0.3">
      <c r="A116" s="2"/>
      <c r="B116" s="27"/>
      <c r="C116" s="6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6" x14ac:dyDescent="0.3">
      <c r="A117" s="2"/>
      <c r="B117" s="27"/>
      <c r="C117" s="6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6" x14ac:dyDescent="0.3">
      <c r="A118" s="2"/>
      <c r="B118" s="27"/>
      <c r="C118" s="6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6" x14ac:dyDescent="0.3">
      <c r="A119" s="2"/>
      <c r="B119" s="27"/>
      <c r="C119" s="6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6" x14ac:dyDescent="0.3">
      <c r="A120" s="2"/>
      <c r="B120" s="27"/>
      <c r="C120" s="6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6" x14ac:dyDescent="0.3">
      <c r="A121" s="2"/>
      <c r="B121" s="27"/>
      <c r="C121" s="6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6" x14ac:dyDescent="0.3">
      <c r="A122" s="2"/>
      <c r="B122" s="27"/>
      <c r="C122" s="6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6" x14ac:dyDescent="0.3">
      <c r="A123" s="2"/>
      <c r="B123" s="27"/>
      <c r="C123" s="6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6" x14ac:dyDescent="0.3">
      <c r="A124" s="2"/>
      <c r="B124" s="27"/>
      <c r="C124" s="6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6" x14ac:dyDescent="0.3">
      <c r="A125" s="2"/>
      <c r="B125" s="27"/>
      <c r="C125" s="6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6" x14ac:dyDescent="0.3">
      <c r="A126" s="2"/>
      <c r="B126" s="27"/>
      <c r="C126" s="6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6" x14ac:dyDescent="0.3">
      <c r="A127" s="2"/>
      <c r="B127" s="27"/>
      <c r="C127" s="6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6" x14ac:dyDescent="0.3">
      <c r="A128" s="2"/>
      <c r="B128" s="27"/>
      <c r="C128" s="6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6" x14ac:dyDescent="0.3">
      <c r="A129" s="2"/>
      <c r="B129" s="27"/>
      <c r="C129" s="6"/>
      <c r="D129" s="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6" x14ac:dyDescent="0.3">
      <c r="A130" s="2"/>
      <c r="B130" s="27"/>
      <c r="C130" s="6"/>
      <c r="D130" s="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6" x14ac:dyDescent="0.3">
      <c r="A131" s="2"/>
      <c r="B131" s="27"/>
      <c r="C131" s="6"/>
      <c r="D131" s="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6" x14ac:dyDescent="0.3">
      <c r="A132" s="2"/>
      <c r="B132" s="27"/>
      <c r="C132" s="6"/>
      <c r="D132" s="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6" x14ac:dyDescent="0.3">
      <c r="A133" s="2"/>
      <c r="B133" s="27"/>
      <c r="C133" s="6"/>
      <c r="D133" s="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6" x14ac:dyDescent="0.3">
      <c r="A134" s="2"/>
      <c r="B134" s="27"/>
      <c r="C134" s="6"/>
      <c r="D134" s="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6" x14ac:dyDescent="0.3">
      <c r="A135" s="2"/>
      <c r="B135" s="27"/>
      <c r="C135" s="6"/>
      <c r="D135" s="6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6" x14ac:dyDescent="0.3">
      <c r="A136" s="2"/>
      <c r="B136" s="27"/>
      <c r="C136" s="6"/>
      <c r="D136" s="6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6" x14ac:dyDescent="0.3">
      <c r="A137" s="2"/>
      <c r="B137" s="27"/>
      <c r="C137" s="6"/>
      <c r="D137" s="6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6" x14ac:dyDescent="0.3">
      <c r="A138" s="2"/>
      <c r="B138" s="27"/>
      <c r="C138" s="6"/>
      <c r="D138" s="6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6" x14ac:dyDescent="0.3">
      <c r="A139" s="2"/>
      <c r="B139" s="27"/>
      <c r="C139" s="6"/>
      <c r="D139" s="6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6" x14ac:dyDescent="0.3">
      <c r="A140" s="2"/>
      <c r="B140" s="27"/>
      <c r="C140" s="6"/>
      <c r="D140" s="6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6" x14ac:dyDescent="0.3">
      <c r="A141" s="2"/>
      <c r="B141" s="27"/>
      <c r="C141" s="6"/>
      <c r="D141" s="6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6" x14ac:dyDescent="0.3">
      <c r="A142" s="2"/>
      <c r="B142" s="27"/>
      <c r="C142" s="6"/>
      <c r="D142" s="6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6" x14ac:dyDescent="0.3">
      <c r="A143" s="2"/>
      <c r="B143" s="27"/>
      <c r="C143" s="6"/>
      <c r="D143" s="6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6" x14ac:dyDescent="0.3">
      <c r="A144" s="2"/>
      <c r="B144" s="27"/>
      <c r="C144" s="6"/>
      <c r="D144" s="6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6" x14ac:dyDescent="0.3">
      <c r="A145" s="2"/>
      <c r="B145" s="27"/>
      <c r="C145" s="6"/>
      <c r="D145" s="6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6" x14ac:dyDescent="0.3">
      <c r="A146" s="2"/>
      <c r="B146" s="27"/>
      <c r="C146" s="6"/>
      <c r="D146" s="6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6" x14ac:dyDescent="0.3">
      <c r="A147" s="2"/>
      <c r="B147" s="27"/>
      <c r="C147" s="6"/>
      <c r="D147" s="6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6" x14ac:dyDescent="0.3">
      <c r="A148" s="2"/>
      <c r="B148" s="27"/>
      <c r="C148" s="6"/>
      <c r="D148" s="6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6" x14ac:dyDescent="0.3">
      <c r="A149" s="2"/>
      <c r="B149" s="27"/>
      <c r="C149" s="6"/>
      <c r="D149" s="6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6" x14ac:dyDescent="0.3">
      <c r="A150" s="2"/>
      <c r="B150" s="27"/>
      <c r="C150" s="6"/>
      <c r="D150" s="6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6" x14ac:dyDescent="0.3">
      <c r="A151" s="2"/>
      <c r="B151" s="27"/>
      <c r="C151" s="6"/>
      <c r="D151" s="6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6" x14ac:dyDescent="0.3">
      <c r="A152" s="2"/>
      <c r="B152" s="27"/>
      <c r="C152" s="6"/>
      <c r="D152" s="6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6" x14ac:dyDescent="0.3">
      <c r="A153" s="2"/>
      <c r="B153" s="27"/>
      <c r="C153" s="6"/>
      <c r="D153" s="6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6" x14ac:dyDescent="0.3">
      <c r="A154" s="2"/>
      <c r="B154" s="27"/>
      <c r="C154" s="6"/>
      <c r="D154" s="6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6" x14ac:dyDescent="0.3">
      <c r="A155" s="2"/>
      <c r="B155" s="27"/>
      <c r="C155" s="6"/>
      <c r="D155" s="6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6" x14ac:dyDescent="0.3">
      <c r="A156" s="2"/>
      <c r="B156" s="27"/>
      <c r="C156" s="6"/>
      <c r="D156" s="6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6" x14ac:dyDescent="0.3">
      <c r="A157" s="2"/>
      <c r="B157" s="27"/>
      <c r="C157" s="6"/>
      <c r="D157" s="6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6" x14ac:dyDescent="0.3">
      <c r="A158" s="2"/>
      <c r="B158" s="27"/>
      <c r="C158" s="6"/>
      <c r="D158" s="6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6" x14ac:dyDescent="0.3">
      <c r="A159" s="2"/>
      <c r="B159" s="27"/>
      <c r="C159" s="6"/>
      <c r="D159" s="6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6" x14ac:dyDescent="0.3">
      <c r="A160" s="2"/>
      <c r="B160" s="27"/>
      <c r="C160" s="6"/>
      <c r="D160" s="6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6" x14ac:dyDescent="0.3">
      <c r="A161" s="2"/>
      <c r="B161" s="27"/>
      <c r="C161" s="6"/>
      <c r="D161" s="6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6" x14ac:dyDescent="0.3">
      <c r="A162" s="2"/>
      <c r="B162" s="27"/>
      <c r="C162" s="6"/>
      <c r="D162" s="6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6" x14ac:dyDescent="0.3">
      <c r="A163" s="2"/>
      <c r="B163" s="27"/>
      <c r="C163" s="6"/>
      <c r="D163" s="6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6" x14ac:dyDescent="0.3">
      <c r="A164" s="2"/>
      <c r="B164" s="27"/>
      <c r="C164" s="6"/>
      <c r="D164" s="6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6" x14ac:dyDescent="0.3">
      <c r="A165" s="2"/>
      <c r="B165" s="27"/>
      <c r="C165" s="6"/>
      <c r="D165" s="6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6" x14ac:dyDescent="0.3">
      <c r="A166" s="2"/>
      <c r="B166" s="27"/>
      <c r="C166" s="6"/>
      <c r="D166" s="6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6" x14ac:dyDescent="0.3">
      <c r="A167" s="2"/>
      <c r="B167" s="27"/>
      <c r="C167" s="6"/>
      <c r="D167" s="6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6" x14ac:dyDescent="0.3">
      <c r="A168" s="2"/>
      <c r="B168" s="27"/>
      <c r="C168" s="6"/>
      <c r="D168" s="6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6" x14ac:dyDescent="0.3">
      <c r="A169" s="2"/>
      <c r="B169" s="27"/>
      <c r="C169" s="6"/>
      <c r="D169" s="6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6" x14ac:dyDescent="0.3">
      <c r="A170" s="2"/>
      <c r="B170" s="27"/>
      <c r="C170" s="6"/>
      <c r="D170" s="6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6" x14ac:dyDescent="0.3">
      <c r="A171" s="2"/>
      <c r="B171" s="27"/>
      <c r="C171" s="6"/>
      <c r="D171" s="6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6" x14ac:dyDescent="0.3">
      <c r="A172" s="2"/>
      <c r="B172" s="27"/>
      <c r="C172" s="6"/>
      <c r="D172" s="6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6" x14ac:dyDescent="0.3">
      <c r="A173" s="2"/>
      <c r="B173" s="27"/>
      <c r="C173" s="6"/>
      <c r="D173" s="6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6" x14ac:dyDescent="0.3">
      <c r="A174" s="2"/>
      <c r="B174" s="27"/>
      <c r="C174" s="6"/>
      <c r="D174" s="6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6" x14ac:dyDescent="0.3">
      <c r="A175" s="2"/>
      <c r="B175" s="27"/>
      <c r="C175" s="6"/>
      <c r="D175" s="6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6" x14ac:dyDescent="0.3">
      <c r="A176" s="2"/>
      <c r="B176" s="27"/>
      <c r="C176" s="6"/>
      <c r="D176" s="6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6" x14ac:dyDescent="0.3">
      <c r="A177" s="2"/>
      <c r="B177" s="27"/>
      <c r="C177" s="6"/>
      <c r="D177" s="6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6" x14ac:dyDescent="0.3">
      <c r="A178" s="2"/>
      <c r="B178" s="27"/>
      <c r="C178" s="6"/>
      <c r="D178" s="6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6" x14ac:dyDescent="0.3">
      <c r="A179" s="2"/>
      <c r="B179" s="27"/>
      <c r="C179" s="6"/>
      <c r="D179" s="6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6" x14ac:dyDescent="0.3">
      <c r="A180" s="2"/>
      <c r="B180" s="27"/>
      <c r="C180" s="6"/>
      <c r="D180" s="6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6" x14ac:dyDescent="0.3">
      <c r="A181" s="2"/>
      <c r="B181" s="27"/>
      <c r="C181" s="6"/>
      <c r="D181" s="6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6" x14ac:dyDescent="0.3">
      <c r="A182" s="2"/>
      <c r="B182" s="27"/>
      <c r="C182" s="6"/>
      <c r="D182" s="6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6" x14ac:dyDescent="0.3">
      <c r="A183" s="2"/>
      <c r="B183" s="27"/>
      <c r="C183" s="6"/>
      <c r="D183" s="6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6" x14ac:dyDescent="0.3">
      <c r="A184" s="2"/>
      <c r="B184" s="27"/>
      <c r="C184" s="6"/>
      <c r="D184" s="6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6" x14ac:dyDescent="0.3">
      <c r="A185" s="2"/>
      <c r="B185" s="27"/>
      <c r="C185" s="6"/>
      <c r="D185" s="6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6" x14ac:dyDescent="0.3">
      <c r="A186" s="2"/>
      <c r="B186" s="27"/>
      <c r="C186" s="6"/>
      <c r="D186" s="6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6" x14ac:dyDescent="0.3">
      <c r="A187" s="2"/>
      <c r="B187" s="27"/>
      <c r="C187" s="6"/>
      <c r="D187" s="6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6" x14ac:dyDescent="0.3">
      <c r="A188" s="2"/>
      <c r="B188" s="27"/>
      <c r="C188" s="6"/>
      <c r="D188" s="6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6" x14ac:dyDescent="0.3">
      <c r="A189" s="2"/>
      <c r="B189" s="27"/>
      <c r="C189" s="6"/>
      <c r="D189" s="6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6" x14ac:dyDescent="0.3">
      <c r="A190" s="2"/>
      <c r="B190" s="27"/>
      <c r="C190" s="6"/>
      <c r="D190" s="6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6" x14ac:dyDescent="0.3">
      <c r="A191" s="2"/>
      <c r="B191" s="27"/>
      <c r="C191" s="6"/>
      <c r="D191" s="6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6" x14ac:dyDescent="0.3">
      <c r="A192" s="2"/>
      <c r="B192" s="27"/>
      <c r="C192" s="6"/>
      <c r="D192" s="6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6" x14ac:dyDescent="0.3">
      <c r="A193" s="2"/>
      <c r="B193" s="27"/>
      <c r="C193" s="6"/>
      <c r="D193" s="6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6" x14ac:dyDescent="0.3">
      <c r="A194" s="2"/>
      <c r="B194" s="27"/>
      <c r="C194" s="6"/>
      <c r="D194" s="6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6" x14ac:dyDescent="0.3">
      <c r="A195" s="2"/>
      <c r="B195" s="27"/>
      <c r="C195" s="6"/>
      <c r="D195" s="6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6" x14ac:dyDescent="0.3">
      <c r="A196" s="2"/>
      <c r="B196" s="27"/>
      <c r="C196" s="6"/>
      <c r="D196" s="6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6" x14ac:dyDescent="0.3">
      <c r="A197" s="2"/>
      <c r="B197" s="27"/>
      <c r="C197" s="6"/>
      <c r="D197" s="6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6" x14ac:dyDescent="0.3">
      <c r="A198" s="2"/>
      <c r="B198" s="27"/>
      <c r="C198" s="6"/>
      <c r="D198" s="6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6" x14ac:dyDescent="0.3">
      <c r="A199" s="2"/>
      <c r="B199" s="27"/>
      <c r="C199" s="6"/>
      <c r="D199" s="6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6" x14ac:dyDescent="0.3">
      <c r="A200" s="2"/>
      <c r="B200" s="27"/>
      <c r="C200" s="6"/>
      <c r="D200" s="6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6" x14ac:dyDescent="0.3">
      <c r="A201" s="2"/>
      <c r="B201" s="27"/>
      <c r="C201" s="6"/>
      <c r="D201" s="6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6" x14ac:dyDescent="0.3">
      <c r="A202" s="2"/>
      <c r="B202" s="27"/>
      <c r="C202" s="6"/>
      <c r="D202" s="6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6" x14ac:dyDescent="0.3">
      <c r="A203" s="2"/>
      <c r="B203" s="27"/>
      <c r="C203" s="6"/>
      <c r="D203" s="6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6" x14ac:dyDescent="0.3">
      <c r="A204" s="2"/>
      <c r="B204" s="27"/>
      <c r="C204" s="6"/>
      <c r="D204" s="6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6" x14ac:dyDescent="0.3">
      <c r="A205" s="2"/>
      <c r="B205" s="27"/>
      <c r="C205" s="6"/>
      <c r="D205" s="6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6" x14ac:dyDescent="0.3">
      <c r="A206" s="2"/>
      <c r="B206" s="27"/>
      <c r="C206" s="6"/>
      <c r="D206" s="6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6" x14ac:dyDescent="0.3">
      <c r="A207" s="2"/>
      <c r="B207" s="27"/>
      <c r="C207" s="6"/>
      <c r="D207" s="6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6" x14ac:dyDescent="0.3">
      <c r="A208" s="2"/>
      <c r="B208" s="27"/>
      <c r="C208" s="6"/>
      <c r="D208" s="6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6" x14ac:dyDescent="0.3">
      <c r="A209" s="2"/>
      <c r="B209" s="27"/>
      <c r="C209" s="6"/>
      <c r="D209" s="6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6" x14ac:dyDescent="0.3">
      <c r="A210" s="2"/>
      <c r="B210" s="27"/>
      <c r="C210" s="6"/>
      <c r="D210" s="6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6" x14ac:dyDescent="0.3">
      <c r="A211" s="2"/>
      <c r="B211" s="27"/>
      <c r="C211" s="6"/>
      <c r="D211" s="6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6" x14ac:dyDescent="0.3">
      <c r="A212" s="2"/>
      <c r="B212" s="27"/>
      <c r="C212" s="6"/>
      <c r="D212" s="6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6" x14ac:dyDescent="0.3">
      <c r="A213" s="2"/>
      <c r="B213" s="27"/>
      <c r="C213" s="6"/>
      <c r="D213" s="6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6" x14ac:dyDescent="0.3">
      <c r="A214" s="2"/>
      <c r="B214" s="27"/>
      <c r="C214" s="6"/>
      <c r="D214" s="6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6" x14ac:dyDescent="0.3">
      <c r="A215" s="2"/>
      <c r="B215" s="27"/>
      <c r="C215" s="6"/>
      <c r="D215" s="6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6" x14ac:dyDescent="0.3">
      <c r="A216" s="2"/>
      <c r="B216" s="27"/>
      <c r="C216" s="6"/>
      <c r="D216" s="6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6" x14ac:dyDescent="0.3">
      <c r="A217" s="2"/>
      <c r="B217" s="27"/>
      <c r="C217" s="6"/>
      <c r="D217" s="6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6" x14ac:dyDescent="0.3">
      <c r="A218" s="2"/>
      <c r="B218" s="27"/>
      <c r="C218" s="6"/>
      <c r="D218" s="6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6" x14ac:dyDescent="0.3">
      <c r="A219" s="2"/>
      <c r="B219" s="27"/>
      <c r="C219" s="6"/>
      <c r="D219" s="6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6" x14ac:dyDescent="0.3">
      <c r="A220" s="2"/>
      <c r="B220" s="27"/>
      <c r="C220" s="6"/>
      <c r="D220" s="6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6" x14ac:dyDescent="0.3">
      <c r="A221" s="2"/>
      <c r="B221" s="27"/>
      <c r="C221" s="6"/>
      <c r="D221" s="6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6" x14ac:dyDescent="0.3">
      <c r="A222" s="2"/>
      <c r="B222" s="27"/>
      <c r="C222" s="6"/>
      <c r="D222" s="6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6" x14ac:dyDescent="0.3">
      <c r="A223" s="2"/>
      <c r="B223" s="27"/>
      <c r="C223" s="6"/>
      <c r="D223" s="6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6" x14ac:dyDescent="0.3">
      <c r="A224" s="2"/>
      <c r="B224" s="27"/>
      <c r="C224" s="6"/>
      <c r="D224" s="6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6" x14ac:dyDescent="0.3">
      <c r="A225" s="2"/>
      <c r="B225" s="27"/>
      <c r="C225" s="6"/>
      <c r="D225" s="6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6" x14ac:dyDescent="0.3">
      <c r="A226" s="2"/>
      <c r="B226" s="27"/>
      <c r="C226" s="6"/>
      <c r="D226" s="6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6" x14ac:dyDescent="0.3">
      <c r="A227" s="2"/>
      <c r="B227" s="27"/>
      <c r="C227" s="6"/>
      <c r="D227" s="6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6" x14ac:dyDescent="0.3">
      <c r="A228" s="2"/>
      <c r="B228" s="27"/>
      <c r="C228" s="6"/>
      <c r="D228" s="6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6" x14ac:dyDescent="0.3">
      <c r="A229" s="2"/>
      <c r="B229" s="27"/>
      <c r="C229" s="6"/>
      <c r="D229" s="6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6" x14ac:dyDescent="0.3">
      <c r="A230" s="2"/>
      <c r="B230" s="27"/>
      <c r="C230" s="6"/>
      <c r="D230" s="6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6" x14ac:dyDescent="0.3">
      <c r="A231" s="2"/>
      <c r="B231" s="27"/>
      <c r="C231" s="6"/>
      <c r="D231" s="6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6" x14ac:dyDescent="0.3">
      <c r="A232" s="2"/>
      <c r="B232" s="27"/>
      <c r="C232" s="6"/>
      <c r="D232" s="6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6" x14ac:dyDescent="0.3">
      <c r="A233" s="2"/>
      <c r="B233" s="27"/>
      <c r="C233" s="6"/>
      <c r="D233" s="6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6" x14ac:dyDescent="0.3">
      <c r="A234" s="2"/>
      <c r="B234" s="27"/>
      <c r="C234" s="6"/>
      <c r="D234" s="6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6" x14ac:dyDescent="0.3">
      <c r="A235" s="2"/>
      <c r="B235" s="27"/>
      <c r="C235" s="6"/>
      <c r="D235" s="6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6" x14ac:dyDescent="0.3">
      <c r="A236" s="2"/>
      <c r="B236" s="27"/>
      <c r="C236" s="6"/>
      <c r="D236" s="6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6" x14ac:dyDescent="0.3">
      <c r="A237" s="2"/>
      <c r="B237" s="27"/>
      <c r="C237" s="6"/>
      <c r="D237" s="6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6" x14ac:dyDescent="0.3">
      <c r="A238" s="2"/>
      <c r="B238" s="27"/>
      <c r="C238" s="6"/>
      <c r="D238" s="6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6" x14ac:dyDescent="0.3">
      <c r="A239" s="2"/>
      <c r="B239" s="27"/>
      <c r="C239" s="6"/>
      <c r="D239" s="6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6" x14ac:dyDescent="0.3">
      <c r="A240" s="2"/>
      <c r="B240" s="27"/>
      <c r="C240" s="6"/>
      <c r="D240" s="6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6" x14ac:dyDescent="0.3">
      <c r="A241" s="2"/>
      <c r="B241" s="27"/>
      <c r="C241" s="6"/>
      <c r="D241" s="6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6" x14ac:dyDescent="0.3">
      <c r="A242" s="2"/>
      <c r="B242" s="27"/>
      <c r="C242" s="6"/>
      <c r="D242" s="6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6" x14ac:dyDescent="0.3">
      <c r="A243" s="2"/>
      <c r="B243" s="27"/>
      <c r="C243" s="6"/>
      <c r="D243" s="6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6" x14ac:dyDescent="0.3">
      <c r="A244" s="2"/>
      <c r="B244" s="27"/>
      <c r="C244" s="6"/>
      <c r="D244" s="6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6" x14ac:dyDescent="0.3">
      <c r="A245" s="2"/>
      <c r="B245" s="27"/>
      <c r="C245" s="6"/>
      <c r="D245" s="6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6" x14ac:dyDescent="0.3">
      <c r="A246" s="2"/>
      <c r="B246" s="27"/>
      <c r="C246" s="6"/>
      <c r="D246" s="6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6" x14ac:dyDescent="0.3">
      <c r="A247" s="2"/>
      <c r="B247" s="27"/>
      <c r="C247" s="6"/>
      <c r="D247" s="6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6" x14ac:dyDescent="0.3">
      <c r="A248" s="2"/>
      <c r="B248" s="27"/>
      <c r="C248" s="6"/>
      <c r="D248" s="6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6" x14ac:dyDescent="0.3">
      <c r="A249" s="2"/>
      <c r="B249" s="27"/>
      <c r="C249" s="6"/>
      <c r="D249" s="6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6" x14ac:dyDescent="0.3">
      <c r="A250" s="2"/>
      <c r="B250" s="27"/>
      <c r="C250" s="6"/>
      <c r="D250" s="6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6" x14ac:dyDescent="0.3">
      <c r="A251" s="2"/>
      <c r="B251" s="27"/>
      <c r="C251" s="6"/>
      <c r="D251" s="6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6" x14ac:dyDescent="0.3">
      <c r="A252" s="2"/>
      <c r="B252" s="27"/>
      <c r="C252" s="6"/>
      <c r="D252" s="6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6" x14ac:dyDescent="0.3">
      <c r="A253" s="2"/>
      <c r="B253" s="27"/>
      <c r="C253" s="6"/>
      <c r="D253" s="6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6" x14ac:dyDescent="0.3">
      <c r="A254" s="2"/>
      <c r="B254" s="27"/>
      <c r="C254" s="6"/>
      <c r="D254" s="6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6" x14ac:dyDescent="0.3">
      <c r="A255" s="2"/>
      <c r="B255" s="27"/>
      <c r="C255" s="6"/>
      <c r="D255" s="6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6" x14ac:dyDescent="0.3">
      <c r="A256" s="2"/>
      <c r="B256" s="27"/>
      <c r="C256" s="6"/>
      <c r="D256" s="6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6" x14ac:dyDescent="0.3">
      <c r="A257" s="2"/>
      <c r="B257" s="27"/>
      <c r="C257" s="6"/>
      <c r="D257" s="6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6" x14ac:dyDescent="0.3">
      <c r="A258" s="2"/>
      <c r="B258" s="27"/>
      <c r="C258" s="6"/>
      <c r="D258" s="6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6" x14ac:dyDescent="0.3">
      <c r="A259" s="2"/>
      <c r="B259" s="27"/>
      <c r="C259" s="6"/>
      <c r="D259" s="6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6" x14ac:dyDescent="0.3">
      <c r="A260" s="2"/>
      <c r="B260" s="27"/>
      <c r="C260" s="6"/>
      <c r="D260" s="6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6" x14ac:dyDescent="0.3">
      <c r="A261" s="2"/>
      <c r="B261" s="27"/>
      <c r="C261" s="6"/>
      <c r="D261" s="6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6" x14ac:dyDescent="0.3">
      <c r="A262" s="2"/>
      <c r="B262" s="27"/>
      <c r="C262" s="6"/>
      <c r="D262" s="6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6" x14ac:dyDescent="0.3">
      <c r="A263" s="2"/>
      <c r="B263" s="27"/>
      <c r="C263" s="6"/>
      <c r="D263" s="6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6" x14ac:dyDescent="0.3">
      <c r="A264" s="2"/>
      <c r="B264" s="27"/>
      <c r="C264" s="6"/>
      <c r="D264" s="6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6" x14ac:dyDescent="0.3">
      <c r="A265" s="2"/>
      <c r="B265" s="27"/>
      <c r="C265" s="6"/>
      <c r="D265" s="6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6" x14ac:dyDescent="0.3">
      <c r="A266" s="2"/>
      <c r="B266" s="27"/>
      <c r="C266" s="6"/>
      <c r="D266" s="6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6" x14ac:dyDescent="0.3">
      <c r="A267" s="2"/>
      <c r="B267" s="27"/>
      <c r="C267" s="6"/>
      <c r="D267" s="6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6" x14ac:dyDescent="0.3">
      <c r="A268" s="2"/>
      <c r="B268" s="27"/>
      <c r="C268" s="6"/>
      <c r="D268" s="6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6" x14ac:dyDescent="0.3">
      <c r="A269" s="2"/>
      <c r="B269" s="27"/>
      <c r="C269" s="6"/>
      <c r="D269" s="6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6" x14ac:dyDescent="0.3">
      <c r="A270" s="2"/>
      <c r="B270" s="27"/>
      <c r="C270" s="6"/>
      <c r="D270" s="6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6" x14ac:dyDescent="0.3">
      <c r="A271" s="2"/>
      <c r="B271" s="27"/>
      <c r="C271" s="6"/>
      <c r="D271" s="6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6" x14ac:dyDescent="0.3">
      <c r="A272" s="2"/>
      <c r="B272" s="27"/>
      <c r="C272" s="6"/>
      <c r="D272" s="6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6" x14ac:dyDescent="0.3">
      <c r="A273" s="2"/>
      <c r="B273" s="27"/>
      <c r="C273" s="6"/>
      <c r="D273" s="6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6" x14ac:dyDescent="0.3">
      <c r="A274" s="2"/>
      <c r="B274" s="27"/>
      <c r="C274" s="6"/>
      <c r="D274" s="6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6" x14ac:dyDescent="0.3">
      <c r="A275" s="2"/>
      <c r="B275" s="27"/>
      <c r="C275" s="6"/>
      <c r="D275" s="6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6" x14ac:dyDescent="0.3">
      <c r="A276" s="2"/>
      <c r="B276" s="27"/>
      <c r="C276" s="6"/>
      <c r="D276" s="6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6" x14ac:dyDescent="0.3">
      <c r="A277" s="2"/>
      <c r="B277" s="27"/>
      <c r="C277" s="6"/>
      <c r="D277" s="6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6" x14ac:dyDescent="0.3">
      <c r="A278" s="2"/>
      <c r="B278" s="27"/>
      <c r="C278" s="6"/>
      <c r="D278" s="6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6" x14ac:dyDescent="0.3">
      <c r="A279" s="2"/>
      <c r="B279" s="27"/>
      <c r="C279" s="6"/>
      <c r="D279" s="6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6" x14ac:dyDescent="0.3">
      <c r="A280" s="2"/>
      <c r="B280" s="27"/>
      <c r="C280" s="6"/>
      <c r="D280" s="6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6" x14ac:dyDescent="0.3">
      <c r="A281" s="2"/>
      <c r="B281" s="27"/>
      <c r="C281" s="6"/>
      <c r="D281" s="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6" x14ac:dyDescent="0.3">
      <c r="A282" s="2"/>
      <c r="B282" s="27"/>
      <c r="C282" s="6"/>
      <c r="D282" s="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6" x14ac:dyDescent="0.3">
      <c r="A283" s="2"/>
      <c r="B283" s="27"/>
      <c r="C283" s="6"/>
      <c r="D283" s="6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6" x14ac:dyDescent="0.3">
      <c r="A284" s="2"/>
      <c r="B284" s="27"/>
      <c r="C284" s="6"/>
      <c r="D284" s="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6" x14ac:dyDescent="0.3">
      <c r="A285" s="2"/>
      <c r="B285" s="27"/>
      <c r="C285" s="6"/>
      <c r="D285" s="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6" x14ac:dyDescent="0.3">
      <c r="A286" s="2"/>
      <c r="B286" s="27"/>
      <c r="C286" s="6"/>
      <c r="D286" s="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6" x14ac:dyDescent="0.3">
      <c r="A287" s="2"/>
      <c r="B287" s="27"/>
      <c r="C287" s="6"/>
      <c r="D287" s="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6" x14ac:dyDescent="0.3">
      <c r="A288" s="2"/>
      <c r="B288" s="27"/>
      <c r="C288" s="6"/>
      <c r="D288" s="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6" x14ac:dyDescent="0.3">
      <c r="A289" s="2"/>
      <c r="B289" s="27"/>
      <c r="C289" s="6"/>
      <c r="D289" s="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6" x14ac:dyDescent="0.3">
      <c r="A290" s="2"/>
      <c r="B290" s="27"/>
      <c r="C290" s="6"/>
      <c r="D290" s="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6" x14ac:dyDescent="0.3">
      <c r="A291" s="2"/>
      <c r="B291" s="27"/>
      <c r="C291" s="6"/>
      <c r="D291" s="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6" x14ac:dyDescent="0.3">
      <c r="A292" s="2"/>
      <c r="B292" s="27"/>
      <c r="C292" s="6"/>
      <c r="D292" s="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6" x14ac:dyDescent="0.3">
      <c r="A293" s="2"/>
      <c r="B293" s="27"/>
      <c r="C293" s="6"/>
      <c r="D293" s="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6" x14ac:dyDescent="0.3">
      <c r="A294" s="2"/>
      <c r="B294" s="27"/>
      <c r="C294" s="6"/>
      <c r="D294" s="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6" x14ac:dyDescent="0.3">
      <c r="A295" s="2"/>
      <c r="B295" s="27"/>
      <c r="C295" s="6"/>
      <c r="D295" s="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6" x14ac:dyDescent="0.3">
      <c r="A296" s="2"/>
      <c r="B296" s="27"/>
      <c r="C296" s="6"/>
      <c r="D296" s="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6" x14ac:dyDescent="0.3">
      <c r="A297" s="2"/>
      <c r="B297" s="27"/>
      <c r="C297" s="6"/>
      <c r="D297" s="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6" x14ac:dyDescent="0.3">
      <c r="A298" s="2"/>
      <c r="B298" s="27"/>
      <c r="C298" s="6"/>
      <c r="D298" s="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6" x14ac:dyDescent="0.3">
      <c r="A299" s="2"/>
      <c r="B299" s="27"/>
      <c r="C299" s="6"/>
      <c r="D299" s="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6" x14ac:dyDescent="0.3">
      <c r="A300" s="2"/>
      <c r="B300" s="27"/>
      <c r="C300" s="6"/>
      <c r="D300" s="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6" x14ac:dyDescent="0.3">
      <c r="A301" s="2"/>
      <c r="B301" s="27"/>
      <c r="C301" s="6"/>
      <c r="D301" s="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6" x14ac:dyDescent="0.3">
      <c r="A302" s="2"/>
      <c r="B302" s="27"/>
      <c r="C302" s="6"/>
      <c r="D302" s="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6" x14ac:dyDescent="0.3">
      <c r="A303" s="2"/>
      <c r="B303" s="27"/>
      <c r="C303" s="6"/>
      <c r="D303" s="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6" x14ac:dyDescent="0.3">
      <c r="A304" s="2"/>
      <c r="B304" s="27"/>
      <c r="C304" s="6"/>
      <c r="D304" s="6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6" x14ac:dyDescent="0.3">
      <c r="A305" s="2"/>
      <c r="B305" s="27"/>
      <c r="C305" s="6"/>
      <c r="D305" s="6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6" x14ac:dyDescent="0.3">
      <c r="A306" s="2"/>
      <c r="B306" s="27"/>
      <c r="C306" s="6"/>
      <c r="D306" s="6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6" x14ac:dyDescent="0.3">
      <c r="A307" s="2"/>
      <c r="B307" s="27"/>
      <c r="C307" s="6"/>
      <c r="D307" s="6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6" x14ac:dyDescent="0.3">
      <c r="A308" s="2"/>
      <c r="B308" s="27"/>
      <c r="C308" s="6"/>
      <c r="D308" s="6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6" x14ac:dyDescent="0.3">
      <c r="A309" s="2"/>
      <c r="B309" s="27"/>
      <c r="C309" s="6"/>
      <c r="D309" s="6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6" x14ac:dyDescent="0.3">
      <c r="A310" s="2"/>
      <c r="B310" s="27"/>
      <c r="C310" s="6"/>
      <c r="D310" s="6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6" x14ac:dyDescent="0.3">
      <c r="A311" s="2"/>
      <c r="B311" s="27"/>
      <c r="C311" s="6"/>
      <c r="D311" s="6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6" x14ac:dyDescent="0.3">
      <c r="A312" s="2"/>
      <c r="B312" s="27"/>
      <c r="C312" s="6"/>
      <c r="D312" s="6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6" x14ac:dyDescent="0.3">
      <c r="A313" s="2"/>
      <c r="B313" s="27"/>
      <c r="C313" s="6"/>
      <c r="D313" s="6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6" x14ac:dyDescent="0.3">
      <c r="A314" s="2"/>
      <c r="B314" s="27"/>
      <c r="C314" s="6"/>
      <c r="D314" s="6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6" x14ac:dyDescent="0.3">
      <c r="A315" s="2"/>
      <c r="B315" s="27"/>
      <c r="C315" s="6"/>
      <c r="D315" s="6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6" x14ac:dyDescent="0.3">
      <c r="A316" s="2"/>
      <c r="B316" s="27"/>
      <c r="C316" s="6"/>
      <c r="D316" s="6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6" x14ac:dyDescent="0.3">
      <c r="A317" s="2"/>
      <c r="B317" s="27"/>
      <c r="C317" s="6"/>
      <c r="D317" s="6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6" x14ac:dyDescent="0.3">
      <c r="A318" s="2"/>
      <c r="B318" s="27"/>
      <c r="C318" s="6"/>
      <c r="D318" s="6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6" x14ac:dyDescent="0.3">
      <c r="A319" s="2"/>
      <c r="B319" s="27"/>
      <c r="C319" s="6"/>
      <c r="D319" s="6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6" x14ac:dyDescent="0.3">
      <c r="A320" s="2"/>
      <c r="B320" s="27"/>
      <c r="C320" s="6"/>
      <c r="D320" s="6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6" x14ac:dyDescent="0.3">
      <c r="A321" s="2"/>
      <c r="B321" s="27"/>
      <c r="C321" s="6"/>
      <c r="D321" s="6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6" x14ac:dyDescent="0.3">
      <c r="A322" s="2"/>
      <c r="B322" s="27"/>
      <c r="C322" s="6"/>
      <c r="D322" s="6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6" x14ac:dyDescent="0.3">
      <c r="A323" s="2"/>
      <c r="B323" s="27"/>
      <c r="C323" s="6"/>
      <c r="D323" s="6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6" x14ac:dyDescent="0.3">
      <c r="A324" s="2"/>
      <c r="B324" s="27"/>
      <c r="C324" s="6"/>
      <c r="D324" s="6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6" x14ac:dyDescent="0.3">
      <c r="A325" s="2"/>
      <c r="B325" s="27"/>
      <c r="C325" s="6"/>
      <c r="D325" s="6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6" x14ac:dyDescent="0.3">
      <c r="A326" s="2"/>
      <c r="B326" s="27"/>
      <c r="C326" s="6"/>
      <c r="D326" s="6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6" x14ac:dyDescent="0.3">
      <c r="A327" s="2"/>
      <c r="B327" s="27"/>
      <c r="C327" s="6"/>
      <c r="D327" s="6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6" x14ac:dyDescent="0.3">
      <c r="A328" s="2"/>
      <c r="B328" s="27"/>
      <c r="C328" s="6"/>
      <c r="D328" s="6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6" x14ac:dyDescent="0.3">
      <c r="A329" s="2"/>
      <c r="B329" s="27"/>
      <c r="C329" s="6"/>
      <c r="D329" s="6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6" x14ac:dyDescent="0.3">
      <c r="A330" s="2"/>
      <c r="B330" s="27"/>
      <c r="C330" s="6"/>
      <c r="D330" s="6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6" x14ac:dyDescent="0.3">
      <c r="A331" s="2"/>
      <c r="B331" s="27"/>
      <c r="C331" s="6"/>
      <c r="D331" s="6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6" x14ac:dyDescent="0.3">
      <c r="A332" s="2"/>
      <c r="B332" s="27"/>
      <c r="C332" s="6"/>
      <c r="D332" s="6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6" x14ac:dyDescent="0.3">
      <c r="A333" s="2"/>
      <c r="B333" s="27"/>
      <c r="C333" s="6"/>
      <c r="D333" s="6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6" x14ac:dyDescent="0.3">
      <c r="A334" s="2"/>
      <c r="B334" s="27"/>
      <c r="C334" s="6"/>
      <c r="D334" s="6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6" x14ac:dyDescent="0.3">
      <c r="A335" s="2"/>
      <c r="B335" s="27"/>
      <c r="C335" s="6"/>
      <c r="D335" s="6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6" x14ac:dyDescent="0.3">
      <c r="A336" s="2"/>
      <c r="B336" s="27"/>
      <c r="C336" s="6"/>
      <c r="D336" s="6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6" x14ac:dyDescent="0.3">
      <c r="A337" s="2"/>
      <c r="B337" s="27"/>
      <c r="C337" s="6"/>
      <c r="D337" s="6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6" x14ac:dyDescent="0.3">
      <c r="A338" s="2"/>
      <c r="B338" s="27"/>
      <c r="C338" s="6"/>
      <c r="D338" s="6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6" x14ac:dyDescent="0.3">
      <c r="A339" s="2"/>
      <c r="B339" s="27"/>
      <c r="C339" s="6"/>
      <c r="D339" s="6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6" x14ac:dyDescent="0.3">
      <c r="A340" s="2"/>
      <c r="B340" s="27"/>
      <c r="C340" s="6"/>
      <c r="D340" s="6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6" x14ac:dyDescent="0.3">
      <c r="A341" s="2"/>
      <c r="B341" s="27"/>
      <c r="C341" s="6"/>
      <c r="D341" s="6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6" x14ac:dyDescent="0.3">
      <c r="A342" s="2"/>
      <c r="B342" s="27"/>
      <c r="C342" s="6"/>
      <c r="D342" s="6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6" x14ac:dyDescent="0.3">
      <c r="A343" s="2"/>
      <c r="B343" s="27"/>
      <c r="C343" s="6"/>
      <c r="D343" s="6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6" x14ac:dyDescent="0.3">
      <c r="A344" s="2"/>
      <c r="B344" s="27"/>
      <c r="C344" s="6"/>
      <c r="D344" s="6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6" x14ac:dyDescent="0.3">
      <c r="A345" s="2"/>
      <c r="B345" s="27"/>
      <c r="C345" s="6"/>
      <c r="D345" s="6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6" x14ac:dyDescent="0.3">
      <c r="A346" s="2"/>
      <c r="B346" s="27"/>
      <c r="C346" s="6"/>
      <c r="D346" s="6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6" x14ac:dyDescent="0.3">
      <c r="A347" s="2"/>
      <c r="B347" s="27"/>
      <c r="C347" s="6"/>
      <c r="D347" s="6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6" x14ac:dyDescent="0.3">
      <c r="A348" s="2"/>
      <c r="B348" s="27"/>
      <c r="C348" s="6"/>
      <c r="D348" s="6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6" x14ac:dyDescent="0.3">
      <c r="A349" s="2"/>
      <c r="B349" s="27"/>
      <c r="C349" s="6"/>
      <c r="D349" s="6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6" x14ac:dyDescent="0.3">
      <c r="A350" s="2"/>
      <c r="B350" s="27"/>
      <c r="C350" s="6"/>
      <c r="D350" s="6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6" x14ac:dyDescent="0.3">
      <c r="A351" s="2"/>
      <c r="B351" s="27"/>
      <c r="C351" s="6"/>
      <c r="D351" s="6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6" x14ac:dyDescent="0.3">
      <c r="A352" s="2"/>
      <c r="B352" s="27"/>
      <c r="C352" s="6"/>
      <c r="D352" s="6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6" x14ac:dyDescent="0.3">
      <c r="A353" s="2"/>
      <c r="B353" s="27"/>
      <c r="C353" s="6"/>
      <c r="D353" s="6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6" x14ac:dyDescent="0.3">
      <c r="A354" s="2"/>
      <c r="B354" s="27"/>
      <c r="C354" s="6"/>
      <c r="D354" s="6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6" x14ac:dyDescent="0.3">
      <c r="A355" s="2"/>
      <c r="B355" s="27"/>
      <c r="C355" s="6"/>
      <c r="D355" s="6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6" x14ac:dyDescent="0.3">
      <c r="A356" s="2"/>
      <c r="B356" s="27"/>
      <c r="C356" s="6"/>
      <c r="D356" s="6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6" x14ac:dyDescent="0.3">
      <c r="A357" s="2"/>
      <c r="B357" s="27"/>
      <c r="C357" s="6"/>
      <c r="D357" s="6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6" x14ac:dyDescent="0.3">
      <c r="A358" s="2"/>
      <c r="B358" s="27"/>
      <c r="C358" s="6"/>
      <c r="D358" s="6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6" x14ac:dyDescent="0.3">
      <c r="A359" s="2"/>
      <c r="B359" s="27"/>
      <c r="C359" s="6"/>
      <c r="D359" s="6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6" x14ac:dyDescent="0.3">
      <c r="A360" s="2"/>
      <c r="B360" s="27"/>
      <c r="C360" s="6"/>
      <c r="D360" s="6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6" x14ac:dyDescent="0.3">
      <c r="A361" s="2"/>
      <c r="B361" s="27"/>
      <c r="C361" s="6"/>
      <c r="D361" s="6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6" x14ac:dyDescent="0.3">
      <c r="A362" s="2"/>
      <c r="B362" s="27"/>
      <c r="C362" s="6"/>
      <c r="D362" s="6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6" x14ac:dyDescent="0.3">
      <c r="A363" s="2"/>
      <c r="B363" s="27"/>
      <c r="C363" s="6"/>
      <c r="D363" s="6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6" x14ac:dyDescent="0.3">
      <c r="A364" s="2"/>
      <c r="B364" s="27"/>
      <c r="C364" s="6"/>
      <c r="D364" s="6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6" x14ac:dyDescent="0.3">
      <c r="A365" s="2"/>
      <c r="B365" s="27"/>
      <c r="C365" s="6"/>
      <c r="D365" s="6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6" x14ac:dyDescent="0.3">
      <c r="A366" s="2"/>
      <c r="B366" s="27"/>
      <c r="C366" s="6"/>
      <c r="D366" s="6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6" x14ac:dyDescent="0.3">
      <c r="A367" s="2"/>
      <c r="B367" s="27"/>
      <c r="C367" s="6"/>
      <c r="D367" s="6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6" x14ac:dyDescent="0.3">
      <c r="A368" s="2"/>
      <c r="B368" s="27"/>
      <c r="C368" s="6"/>
      <c r="D368" s="6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6" x14ac:dyDescent="0.3">
      <c r="A369" s="2"/>
      <c r="B369" s="27"/>
      <c r="C369" s="6"/>
      <c r="D369" s="6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6" x14ac:dyDescent="0.3">
      <c r="A370" s="2"/>
      <c r="B370" s="27"/>
      <c r="C370" s="6"/>
      <c r="D370" s="6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6" x14ac:dyDescent="0.3">
      <c r="A371" s="2"/>
      <c r="B371" s="27"/>
      <c r="C371" s="6"/>
      <c r="D371" s="6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6" x14ac:dyDescent="0.3">
      <c r="A372" s="2"/>
      <c r="B372" s="27"/>
      <c r="C372" s="6"/>
      <c r="D372" s="6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6" x14ac:dyDescent="0.3">
      <c r="A373" s="2"/>
      <c r="B373" s="27"/>
      <c r="C373" s="6"/>
      <c r="D373" s="6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6" x14ac:dyDescent="0.3">
      <c r="A374" s="2"/>
      <c r="B374" s="27"/>
      <c r="C374" s="6"/>
      <c r="D374" s="6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6" x14ac:dyDescent="0.3">
      <c r="A375" s="2"/>
      <c r="B375" s="27"/>
      <c r="C375" s="6"/>
      <c r="D375" s="6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6" x14ac:dyDescent="0.3">
      <c r="A376" s="2"/>
      <c r="B376" s="27"/>
      <c r="C376" s="6"/>
      <c r="D376" s="6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6" x14ac:dyDescent="0.3">
      <c r="A377" s="2"/>
      <c r="B377" s="27"/>
      <c r="C377" s="6"/>
      <c r="D377" s="6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6" x14ac:dyDescent="0.3">
      <c r="A378" s="2"/>
      <c r="B378" s="27"/>
      <c r="C378" s="6"/>
      <c r="D378" s="6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6" x14ac:dyDescent="0.3">
      <c r="A379" s="2"/>
      <c r="B379" s="27"/>
      <c r="C379" s="6"/>
      <c r="D379" s="6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6" x14ac:dyDescent="0.3">
      <c r="A380" s="2"/>
      <c r="B380" s="27"/>
      <c r="C380" s="6"/>
      <c r="D380" s="6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6" x14ac:dyDescent="0.3">
      <c r="A381" s="2"/>
      <c r="B381" s="27"/>
      <c r="C381" s="6"/>
      <c r="D381" s="6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6" x14ac:dyDescent="0.3">
      <c r="A382" s="2"/>
      <c r="B382" s="27"/>
      <c r="C382" s="6"/>
      <c r="D382" s="6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6" x14ac:dyDescent="0.3">
      <c r="A383" s="2"/>
      <c r="B383" s="27"/>
      <c r="C383" s="6"/>
      <c r="D383" s="6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6" x14ac:dyDescent="0.3">
      <c r="A384" s="2"/>
      <c r="B384" s="27"/>
      <c r="C384" s="6"/>
      <c r="D384" s="6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6" x14ac:dyDescent="0.3">
      <c r="A385" s="2"/>
      <c r="B385" s="27"/>
      <c r="C385" s="6"/>
      <c r="D385" s="6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6" x14ac:dyDescent="0.3">
      <c r="A386" s="2"/>
      <c r="B386" s="27"/>
      <c r="C386" s="6"/>
      <c r="D386" s="6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6" x14ac:dyDescent="0.3">
      <c r="A387" s="2"/>
      <c r="B387" s="27"/>
      <c r="C387" s="6"/>
      <c r="D387" s="6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6" x14ac:dyDescent="0.3">
      <c r="A388" s="2"/>
      <c r="B388" s="27"/>
      <c r="C388" s="6"/>
      <c r="D388" s="6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6" x14ac:dyDescent="0.3">
      <c r="A389" s="2"/>
      <c r="B389" s="27"/>
      <c r="C389" s="6"/>
      <c r="D389" s="6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6" x14ac:dyDescent="0.3">
      <c r="A390" s="2"/>
      <c r="B390" s="27"/>
      <c r="C390" s="6"/>
      <c r="D390" s="6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6" x14ac:dyDescent="0.3">
      <c r="A391" s="2"/>
      <c r="B391" s="27"/>
      <c r="C391" s="6"/>
      <c r="D391" s="6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6" x14ac:dyDescent="0.3">
      <c r="A392" s="2"/>
      <c r="B392" s="27"/>
      <c r="C392" s="6"/>
      <c r="D392" s="6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6" x14ac:dyDescent="0.3">
      <c r="A393" s="2"/>
      <c r="B393" s="27"/>
      <c r="C393" s="6"/>
      <c r="D393" s="6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6" x14ac:dyDescent="0.3">
      <c r="A394" s="2"/>
      <c r="B394" s="27"/>
      <c r="C394" s="6"/>
      <c r="D394" s="6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6" x14ac:dyDescent="0.3">
      <c r="A395" s="2"/>
      <c r="B395" s="27"/>
      <c r="C395" s="6"/>
      <c r="D395" s="6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6" x14ac:dyDescent="0.3">
      <c r="A396" s="2"/>
      <c r="B396" s="27"/>
      <c r="C396" s="6"/>
      <c r="D396" s="6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6" x14ac:dyDescent="0.3">
      <c r="A397" s="2"/>
      <c r="B397" s="27"/>
      <c r="C397" s="6"/>
      <c r="D397" s="6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6" x14ac:dyDescent="0.3">
      <c r="A398" s="2"/>
      <c r="B398" s="27"/>
      <c r="C398" s="6"/>
      <c r="D398" s="6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6" x14ac:dyDescent="0.3">
      <c r="A399" s="2"/>
      <c r="B399" s="27"/>
      <c r="C399" s="6"/>
      <c r="D399" s="6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6" x14ac:dyDescent="0.3">
      <c r="A400" s="2"/>
      <c r="B400" s="27"/>
      <c r="C400" s="6"/>
      <c r="D400" s="6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6" x14ac:dyDescent="0.3">
      <c r="A401" s="2"/>
      <c r="B401" s="27"/>
      <c r="C401" s="6"/>
      <c r="D401" s="6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6" x14ac:dyDescent="0.3">
      <c r="A402" s="2"/>
      <c r="B402" s="27"/>
      <c r="C402" s="6"/>
      <c r="D402" s="6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6" x14ac:dyDescent="0.3">
      <c r="A403" s="2"/>
      <c r="B403" s="27"/>
      <c r="C403" s="6"/>
      <c r="D403" s="6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6" x14ac:dyDescent="0.3">
      <c r="A404" s="2"/>
      <c r="B404" s="27"/>
      <c r="C404" s="6"/>
      <c r="D404" s="6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6" x14ac:dyDescent="0.3">
      <c r="A405" s="2"/>
      <c r="B405" s="27"/>
      <c r="C405" s="6"/>
      <c r="D405" s="6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6" x14ac:dyDescent="0.3">
      <c r="A406" s="2"/>
      <c r="B406" s="27"/>
      <c r="C406" s="6"/>
      <c r="D406" s="6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6" x14ac:dyDescent="0.3">
      <c r="A407" s="2"/>
      <c r="B407" s="27"/>
      <c r="C407" s="6"/>
      <c r="D407" s="6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6" x14ac:dyDescent="0.3">
      <c r="A408" s="2"/>
      <c r="B408" s="27"/>
      <c r="C408" s="6"/>
      <c r="D408" s="6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6" x14ac:dyDescent="0.3">
      <c r="A409" s="2"/>
      <c r="B409" s="27"/>
      <c r="C409" s="6"/>
      <c r="D409" s="6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6" x14ac:dyDescent="0.3">
      <c r="A410" s="2"/>
      <c r="B410" s="27"/>
      <c r="C410" s="6"/>
      <c r="D410" s="6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6" x14ac:dyDescent="0.3">
      <c r="A411" s="2"/>
      <c r="B411" s="27"/>
      <c r="C411" s="6"/>
      <c r="D411" s="6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6" x14ac:dyDescent="0.3">
      <c r="A412" s="2"/>
      <c r="B412" s="27"/>
      <c r="C412" s="6"/>
      <c r="D412" s="6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6" x14ac:dyDescent="0.3">
      <c r="A413" s="2"/>
      <c r="B413" s="27"/>
      <c r="C413" s="6"/>
      <c r="D413" s="6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6" x14ac:dyDescent="0.3">
      <c r="A414" s="2"/>
      <c r="B414" s="27"/>
      <c r="C414" s="6"/>
      <c r="D414" s="6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6" x14ac:dyDescent="0.3">
      <c r="A415" s="2"/>
      <c r="B415" s="27"/>
      <c r="C415" s="6"/>
      <c r="D415" s="6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6" x14ac:dyDescent="0.3">
      <c r="A416" s="2"/>
      <c r="B416" s="27"/>
      <c r="C416" s="6"/>
      <c r="D416" s="6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6" x14ac:dyDescent="0.3">
      <c r="A417" s="2"/>
      <c r="B417" s="27"/>
      <c r="C417" s="6"/>
      <c r="D417" s="6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6" x14ac:dyDescent="0.3">
      <c r="A418" s="2"/>
      <c r="B418" s="27"/>
      <c r="C418" s="6"/>
      <c r="D418" s="6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6" x14ac:dyDescent="0.3">
      <c r="A419" s="2"/>
      <c r="B419" s="27"/>
      <c r="C419" s="6"/>
      <c r="D419" s="6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6" x14ac:dyDescent="0.3">
      <c r="A420" s="2"/>
      <c r="B420" s="27"/>
      <c r="C420" s="6"/>
      <c r="D420" s="6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6" x14ac:dyDescent="0.3">
      <c r="A421" s="2"/>
      <c r="B421" s="27"/>
      <c r="C421" s="6"/>
      <c r="D421" s="6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6" x14ac:dyDescent="0.3">
      <c r="A422" s="2"/>
      <c r="B422" s="27"/>
      <c r="C422" s="6"/>
      <c r="D422" s="6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6" x14ac:dyDescent="0.3">
      <c r="A423" s="2"/>
      <c r="B423" s="27"/>
      <c r="C423" s="6"/>
      <c r="D423" s="6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6" x14ac:dyDescent="0.3">
      <c r="A424" s="2"/>
      <c r="B424" s="27"/>
      <c r="C424" s="6"/>
      <c r="D424" s="6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6" x14ac:dyDescent="0.3">
      <c r="A425" s="2"/>
      <c r="B425" s="27"/>
      <c r="C425" s="6"/>
      <c r="D425" s="6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6" x14ac:dyDescent="0.3">
      <c r="A426" s="2"/>
      <c r="B426" s="27"/>
      <c r="C426" s="6"/>
      <c r="D426" s="6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6" x14ac:dyDescent="0.3">
      <c r="A427" s="2"/>
      <c r="B427" s="27"/>
      <c r="C427" s="6"/>
      <c r="D427" s="6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6" x14ac:dyDescent="0.3">
      <c r="A428" s="2"/>
      <c r="B428" s="27"/>
      <c r="C428" s="6"/>
      <c r="D428" s="6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6" x14ac:dyDescent="0.3">
      <c r="A429" s="2"/>
      <c r="B429" s="27"/>
      <c r="C429" s="6"/>
      <c r="D429" s="6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6" x14ac:dyDescent="0.3">
      <c r="A430" s="2"/>
      <c r="B430" s="27"/>
      <c r="C430" s="6"/>
      <c r="D430" s="6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6" x14ac:dyDescent="0.3">
      <c r="A431" s="2"/>
      <c r="B431" s="27"/>
      <c r="C431" s="6"/>
      <c r="D431" s="6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6" x14ac:dyDescent="0.3">
      <c r="A432" s="2"/>
      <c r="B432" s="27"/>
      <c r="C432" s="6"/>
      <c r="D432" s="6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6" x14ac:dyDescent="0.3">
      <c r="A433" s="2"/>
      <c r="B433" s="27"/>
      <c r="C433" s="6"/>
      <c r="D433" s="6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6" x14ac:dyDescent="0.3">
      <c r="A434" s="2"/>
      <c r="B434" s="27"/>
      <c r="C434" s="6"/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6" x14ac:dyDescent="0.3">
      <c r="A435" s="2"/>
      <c r="B435" s="27"/>
      <c r="C435" s="6"/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6" x14ac:dyDescent="0.3">
      <c r="A436" s="2"/>
      <c r="B436" s="27"/>
      <c r="C436" s="6"/>
      <c r="D436" s="6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6" x14ac:dyDescent="0.3">
      <c r="A437" s="2"/>
      <c r="B437" s="27"/>
      <c r="C437" s="6"/>
      <c r="D437" s="6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6" x14ac:dyDescent="0.3">
      <c r="A438" s="2"/>
      <c r="B438" s="27"/>
      <c r="C438" s="6"/>
      <c r="D438" s="6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6" x14ac:dyDescent="0.3">
      <c r="A439" s="2"/>
      <c r="B439" s="27"/>
      <c r="C439" s="6"/>
      <c r="D439" s="6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6" x14ac:dyDescent="0.3">
      <c r="A440" s="2"/>
      <c r="B440" s="27"/>
      <c r="C440" s="6"/>
      <c r="D440" s="6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6" x14ac:dyDescent="0.3">
      <c r="A441" s="2"/>
      <c r="B441" s="27"/>
      <c r="C441" s="6"/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6" x14ac:dyDescent="0.3">
      <c r="A442" s="2"/>
      <c r="B442" s="27"/>
      <c r="C442" s="6"/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6" x14ac:dyDescent="0.3">
      <c r="A443" s="2"/>
      <c r="B443" s="27"/>
      <c r="C443" s="6"/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6" x14ac:dyDescent="0.3">
      <c r="A444" s="2"/>
      <c r="B444" s="27"/>
      <c r="C444" s="6"/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6" x14ac:dyDescent="0.3">
      <c r="A445" s="2"/>
      <c r="B445" s="27"/>
      <c r="C445" s="6"/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6" x14ac:dyDescent="0.3">
      <c r="A446" s="2"/>
      <c r="B446" s="27"/>
      <c r="C446" s="6"/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6" x14ac:dyDescent="0.3">
      <c r="A447" s="2"/>
      <c r="B447" s="27"/>
      <c r="C447" s="6"/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6" x14ac:dyDescent="0.3">
      <c r="A448" s="2"/>
      <c r="B448" s="27"/>
      <c r="C448" s="6"/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6" x14ac:dyDescent="0.3">
      <c r="A449" s="2"/>
      <c r="B449" s="27"/>
      <c r="C449" s="6"/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6" x14ac:dyDescent="0.3">
      <c r="A450" s="2"/>
      <c r="B450" s="27"/>
      <c r="C450" s="6"/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6" x14ac:dyDescent="0.3">
      <c r="A451" s="2"/>
      <c r="B451" s="27"/>
      <c r="C451" s="6"/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6" x14ac:dyDescent="0.3">
      <c r="A452" s="2"/>
      <c r="B452" s="27"/>
      <c r="C452" s="6"/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6" x14ac:dyDescent="0.3">
      <c r="A453" s="2"/>
      <c r="B453" s="27"/>
      <c r="C453" s="6"/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6" x14ac:dyDescent="0.3">
      <c r="A454" s="2"/>
      <c r="B454" s="27"/>
      <c r="C454" s="6"/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6" x14ac:dyDescent="0.3">
      <c r="A455" s="2"/>
      <c r="B455" s="27"/>
      <c r="C455" s="6"/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6" x14ac:dyDescent="0.3">
      <c r="A456" s="2"/>
      <c r="B456" s="27"/>
      <c r="C456" s="6"/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6" x14ac:dyDescent="0.3">
      <c r="A457" s="2"/>
      <c r="B457" s="27"/>
      <c r="C457" s="6"/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6" x14ac:dyDescent="0.3">
      <c r="A458" s="2"/>
      <c r="B458" s="27"/>
      <c r="C458" s="6"/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6" x14ac:dyDescent="0.3">
      <c r="A459" s="2"/>
      <c r="B459" s="27"/>
      <c r="C459" s="6"/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6" x14ac:dyDescent="0.3">
      <c r="A460" s="2"/>
      <c r="B460" s="27"/>
      <c r="C460" s="6"/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6" x14ac:dyDescent="0.3">
      <c r="A461" s="2"/>
      <c r="B461" s="27"/>
      <c r="C461" s="6"/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6" x14ac:dyDescent="0.3">
      <c r="A462" s="2"/>
      <c r="B462" s="27"/>
      <c r="C462" s="6"/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6" x14ac:dyDescent="0.3">
      <c r="A463" s="2"/>
      <c r="B463" s="27"/>
      <c r="C463" s="6"/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6" x14ac:dyDescent="0.3">
      <c r="A464" s="2"/>
      <c r="B464" s="27"/>
      <c r="C464" s="6"/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6" x14ac:dyDescent="0.3">
      <c r="A465" s="2"/>
      <c r="B465" s="27"/>
      <c r="C465" s="6"/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6" x14ac:dyDescent="0.3">
      <c r="A466" s="2"/>
      <c r="B466" s="27"/>
      <c r="C466" s="6"/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6" x14ac:dyDescent="0.3">
      <c r="A467" s="2"/>
      <c r="B467" s="27"/>
      <c r="C467" s="6"/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6" x14ac:dyDescent="0.3">
      <c r="A468" s="2"/>
      <c r="B468" s="27"/>
      <c r="C468" s="6"/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6" x14ac:dyDescent="0.3">
      <c r="A469" s="2"/>
      <c r="B469" s="27"/>
      <c r="C469" s="6"/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6" x14ac:dyDescent="0.3">
      <c r="A470" s="2"/>
      <c r="B470" s="27"/>
      <c r="C470" s="6"/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6" x14ac:dyDescent="0.3">
      <c r="A471" s="2"/>
      <c r="B471" s="27"/>
      <c r="C471" s="6"/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6" x14ac:dyDescent="0.3">
      <c r="A472" s="2"/>
      <c r="B472" s="27"/>
      <c r="C472" s="6"/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6" x14ac:dyDescent="0.3">
      <c r="A473" s="2"/>
      <c r="B473" s="27"/>
      <c r="C473" s="6"/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6" x14ac:dyDescent="0.3">
      <c r="A474" s="2"/>
      <c r="B474" s="27"/>
      <c r="C474" s="6"/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6" x14ac:dyDescent="0.3">
      <c r="A475" s="2"/>
      <c r="B475" s="27"/>
      <c r="C475" s="6"/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6" x14ac:dyDescent="0.3">
      <c r="A476" s="2"/>
      <c r="B476" s="27"/>
      <c r="C476" s="6"/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6" x14ac:dyDescent="0.3">
      <c r="A477" s="2"/>
      <c r="B477" s="27"/>
      <c r="C477" s="6"/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6" x14ac:dyDescent="0.3">
      <c r="A478" s="2"/>
      <c r="B478" s="27"/>
      <c r="C478" s="6"/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6" x14ac:dyDescent="0.3">
      <c r="A479" s="2"/>
      <c r="B479" s="27"/>
      <c r="C479" s="6"/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6" x14ac:dyDescent="0.3">
      <c r="A480" s="2"/>
      <c r="B480" s="27"/>
      <c r="C480" s="6"/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6" x14ac:dyDescent="0.3">
      <c r="A481" s="2"/>
      <c r="B481" s="27"/>
      <c r="C481" s="6"/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6" x14ac:dyDescent="0.3">
      <c r="A482" s="2"/>
      <c r="B482" s="27"/>
      <c r="C482" s="6"/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6" x14ac:dyDescent="0.3">
      <c r="A483" s="2"/>
      <c r="B483" s="27"/>
      <c r="C483" s="6"/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6" x14ac:dyDescent="0.3">
      <c r="A484" s="2"/>
      <c r="B484" s="27"/>
      <c r="C484" s="6"/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6" x14ac:dyDescent="0.3">
      <c r="A485" s="2"/>
      <c r="B485" s="27"/>
      <c r="C485" s="6"/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6" x14ac:dyDescent="0.3">
      <c r="A486" s="2"/>
      <c r="B486" s="27"/>
      <c r="C486" s="6"/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6" x14ac:dyDescent="0.3">
      <c r="A487" s="2"/>
      <c r="B487" s="27"/>
      <c r="C487" s="6"/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6" x14ac:dyDescent="0.3">
      <c r="A488" s="2"/>
      <c r="B488" s="27"/>
      <c r="C488" s="6"/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6" x14ac:dyDescent="0.3">
      <c r="A489" s="2"/>
      <c r="B489" s="27"/>
      <c r="C489" s="6"/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6" x14ac:dyDescent="0.3">
      <c r="A490" s="2"/>
      <c r="B490" s="27"/>
      <c r="C490" s="6"/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6" x14ac:dyDescent="0.3">
      <c r="A491" s="2"/>
      <c r="B491" s="27"/>
      <c r="C491" s="6"/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6" x14ac:dyDescent="0.3">
      <c r="A492" s="2"/>
      <c r="B492" s="27"/>
      <c r="C492" s="6"/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6" x14ac:dyDescent="0.3">
      <c r="A493" s="2"/>
      <c r="B493" s="27"/>
      <c r="C493" s="6"/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6" x14ac:dyDescent="0.3">
      <c r="A494" s="2"/>
      <c r="B494" s="27"/>
      <c r="C494" s="6"/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6" x14ac:dyDescent="0.3">
      <c r="A495" s="2"/>
      <c r="B495" s="27"/>
      <c r="C495" s="6"/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6" x14ac:dyDescent="0.3">
      <c r="A496" s="2"/>
      <c r="B496" s="27"/>
      <c r="C496" s="6"/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6" x14ac:dyDescent="0.3">
      <c r="A497" s="2"/>
      <c r="B497" s="27"/>
      <c r="C497" s="6"/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6" x14ac:dyDescent="0.3">
      <c r="A498" s="2"/>
      <c r="B498" s="27"/>
      <c r="C498" s="6"/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6" x14ac:dyDescent="0.3">
      <c r="A499" s="2"/>
      <c r="B499" s="27"/>
      <c r="C499" s="6"/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6" x14ac:dyDescent="0.3">
      <c r="A500" s="2"/>
      <c r="B500" s="27"/>
      <c r="C500" s="6"/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6" x14ac:dyDescent="0.3">
      <c r="A501" s="2"/>
      <c r="B501" s="27"/>
      <c r="C501" s="6"/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6" x14ac:dyDescent="0.3">
      <c r="A502" s="2"/>
      <c r="B502" s="27"/>
      <c r="C502" s="6"/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6" x14ac:dyDescent="0.3">
      <c r="A503" s="2"/>
      <c r="B503" s="27"/>
      <c r="C503" s="6"/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6" x14ac:dyDescent="0.3">
      <c r="A504" s="2"/>
      <c r="B504" s="27"/>
      <c r="C504" s="6"/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6" x14ac:dyDescent="0.3">
      <c r="A505" s="2"/>
      <c r="B505" s="27"/>
      <c r="C505" s="6"/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6" x14ac:dyDescent="0.3">
      <c r="A506" s="2"/>
      <c r="B506" s="27"/>
      <c r="C506" s="6"/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6" x14ac:dyDescent="0.3">
      <c r="A507" s="2"/>
      <c r="B507" s="27"/>
      <c r="C507" s="6"/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6" x14ac:dyDescent="0.3">
      <c r="A508" s="2"/>
      <c r="B508" s="27"/>
      <c r="C508" s="6"/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6" x14ac:dyDescent="0.3">
      <c r="A509" s="2"/>
      <c r="B509" s="27"/>
      <c r="C509" s="6"/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6" x14ac:dyDescent="0.3">
      <c r="A510" s="2"/>
      <c r="B510" s="27"/>
      <c r="C510" s="6"/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6" x14ac:dyDescent="0.3">
      <c r="A511" s="2"/>
      <c r="B511" s="27"/>
      <c r="C511" s="6"/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6" x14ac:dyDescent="0.3">
      <c r="A512" s="2"/>
      <c r="B512" s="27"/>
      <c r="C512" s="6"/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6" x14ac:dyDescent="0.3">
      <c r="A513" s="2"/>
      <c r="B513" s="27"/>
      <c r="C513" s="6"/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6" x14ac:dyDescent="0.3">
      <c r="A514" s="2"/>
      <c r="B514" s="27"/>
      <c r="C514" s="6"/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6" x14ac:dyDescent="0.3">
      <c r="A515" s="2"/>
      <c r="B515" s="27"/>
      <c r="C515" s="6"/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6" x14ac:dyDescent="0.3">
      <c r="A516" s="2"/>
      <c r="B516" s="27"/>
      <c r="C516" s="6"/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6" x14ac:dyDescent="0.3">
      <c r="A517" s="2"/>
      <c r="B517" s="27"/>
      <c r="C517" s="6"/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6" x14ac:dyDescent="0.3">
      <c r="A518" s="2"/>
      <c r="B518" s="27"/>
      <c r="C518" s="6"/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6" x14ac:dyDescent="0.3">
      <c r="A519" s="2"/>
      <c r="B519" s="27"/>
      <c r="C519" s="6"/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6" x14ac:dyDescent="0.3">
      <c r="A520" s="2"/>
      <c r="B520" s="27"/>
      <c r="C520" s="6"/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6" x14ac:dyDescent="0.3">
      <c r="A521" s="2"/>
      <c r="B521" s="27"/>
      <c r="C521" s="6"/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6" x14ac:dyDescent="0.3">
      <c r="A522" s="2"/>
      <c r="B522" s="27"/>
      <c r="C522" s="6"/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6" x14ac:dyDescent="0.3">
      <c r="A523" s="2"/>
      <c r="B523" s="27"/>
      <c r="C523" s="6"/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6" x14ac:dyDescent="0.3">
      <c r="A524" s="2"/>
      <c r="B524" s="27"/>
      <c r="C524" s="6"/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6" x14ac:dyDescent="0.3">
      <c r="A525" s="2"/>
      <c r="B525" s="27"/>
      <c r="C525" s="6"/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6" x14ac:dyDescent="0.3">
      <c r="A526" s="2"/>
      <c r="B526" s="27"/>
      <c r="C526" s="6"/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6" x14ac:dyDescent="0.3">
      <c r="A527" s="2"/>
      <c r="B527" s="27"/>
      <c r="C527" s="6"/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6" x14ac:dyDescent="0.3">
      <c r="A528" s="2"/>
      <c r="B528" s="27"/>
      <c r="C528" s="6"/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6" x14ac:dyDescent="0.3">
      <c r="A529" s="2"/>
      <c r="B529" s="27"/>
      <c r="C529" s="6"/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6" x14ac:dyDescent="0.3">
      <c r="A530" s="2"/>
      <c r="B530" s="27"/>
      <c r="C530" s="6"/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6" x14ac:dyDescent="0.3">
      <c r="A531" s="2"/>
      <c r="B531" s="27"/>
      <c r="C531" s="6"/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6" x14ac:dyDescent="0.3">
      <c r="A532" s="2"/>
      <c r="B532" s="27"/>
      <c r="C532" s="6"/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6" x14ac:dyDescent="0.3">
      <c r="A533" s="2"/>
      <c r="B533" s="27"/>
      <c r="C533" s="6"/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6" x14ac:dyDescent="0.3">
      <c r="A534" s="2"/>
      <c r="B534" s="27"/>
      <c r="C534" s="6"/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6" x14ac:dyDescent="0.3">
      <c r="A535" s="2"/>
      <c r="B535" s="27"/>
      <c r="C535" s="6"/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6" x14ac:dyDescent="0.3">
      <c r="A536" s="2"/>
      <c r="B536" s="27"/>
      <c r="C536" s="6"/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6" x14ac:dyDescent="0.3">
      <c r="A537" s="2"/>
      <c r="B537" s="27"/>
      <c r="C537" s="6"/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6" x14ac:dyDescent="0.3">
      <c r="A538" s="2"/>
      <c r="B538" s="27"/>
      <c r="C538" s="6"/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6" x14ac:dyDescent="0.3">
      <c r="A539" s="2"/>
      <c r="B539" s="27"/>
      <c r="C539" s="6"/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6" x14ac:dyDescent="0.3">
      <c r="A540" s="2"/>
      <c r="B540" s="27"/>
      <c r="C540" s="6"/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6" x14ac:dyDescent="0.3">
      <c r="A541" s="2"/>
      <c r="B541" s="27"/>
      <c r="C541" s="6"/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6" x14ac:dyDescent="0.3">
      <c r="A542" s="2"/>
      <c r="B542" s="27"/>
      <c r="C542" s="6"/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6" x14ac:dyDescent="0.3">
      <c r="A543" s="2"/>
      <c r="B543" s="27"/>
      <c r="C543" s="6"/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6" x14ac:dyDescent="0.3">
      <c r="A544" s="2"/>
      <c r="B544" s="27"/>
      <c r="C544" s="6"/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6" x14ac:dyDescent="0.3">
      <c r="A545" s="2"/>
      <c r="B545" s="27"/>
      <c r="C545" s="6"/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6" x14ac:dyDescent="0.3">
      <c r="A546" s="2"/>
      <c r="B546" s="27"/>
      <c r="C546" s="6"/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6" x14ac:dyDescent="0.3">
      <c r="A547" s="2"/>
      <c r="B547" s="27"/>
      <c r="C547" s="6"/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6" x14ac:dyDescent="0.3">
      <c r="A548" s="2"/>
      <c r="B548" s="27"/>
      <c r="C548" s="6"/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6" x14ac:dyDescent="0.3">
      <c r="A549" s="2"/>
      <c r="B549" s="27"/>
      <c r="C549" s="6"/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6" x14ac:dyDescent="0.3">
      <c r="A550" s="2"/>
      <c r="B550" s="27"/>
      <c r="C550" s="6"/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6" x14ac:dyDescent="0.3">
      <c r="A551" s="2"/>
      <c r="B551" s="27"/>
      <c r="C551" s="6"/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6" x14ac:dyDescent="0.3">
      <c r="A552" s="2"/>
      <c r="B552" s="27"/>
      <c r="C552" s="6"/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6" x14ac:dyDescent="0.3">
      <c r="A553" s="2"/>
      <c r="B553" s="27"/>
      <c r="C553" s="6"/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6" x14ac:dyDescent="0.3">
      <c r="A554" s="2"/>
      <c r="B554" s="27"/>
      <c r="C554" s="6"/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6" x14ac:dyDescent="0.3">
      <c r="A555" s="2"/>
      <c r="B555" s="27"/>
      <c r="C555" s="6"/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6" x14ac:dyDescent="0.3">
      <c r="A556" s="2"/>
      <c r="B556" s="27"/>
      <c r="C556" s="6"/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6" x14ac:dyDescent="0.3">
      <c r="A557" s="2"/>
      <c r="B557" s="27"/>
      <c r="C557" s="6"/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6" x14ac:dyDescent="0.3">
      <c r="A558" s="2"/>
      <c r="B558" s="27"/>
      <c r="C558" s="6"/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6" x14ac:dyDescent="0.3">
      <c r="A559" s="2"/>
      <c r="B559" s="27"/>
      <c r="C559" s="6"/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6" x14ac:dyDescent="0.3">
      <c r="A560" s="2"/>
      <c r="B560" s="27"/>
      <c r="C560" s="6"/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6" x14ac:dyDescent="0.3">
      <c r="A561" s="2"/>
      <c r="B561" s="27"/>
      <c r="C561" s="6"/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6" x14ac:dyDescent="0.3">
      <c r="A562" s="2"/>
      <c r="B562" s="27"/>
      <c r="C562" s="6"/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6" x14ac:dyDescent="0.3">
      <c r="A563" s="2"/>
      <c r="B563" s="27"/>
      <c r="C563" s="6"/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6" x14ac:dyDescent="0.3">
      <c r="A564" s="2"/>
      <c r="B564" s="27"/>
      <c r="C564" s="6"/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6" x14ac:dyDescent="0.3">
      <c r="A565" s="2"/>
      <c r="B565" s="27"/>
      <c r="C565" s="6"/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6" x14ac:dyDescent="0.3">
      <c r="A566" s="2"/>
      <c r="B566" s="27"/>
      <c r="C566" s="6"/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6" x14ac:dyDescent="0.3">
      <c r="A567" s="2"/>
      <c r="B567" s="27"/>
      <c r="C567" s="6"/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6" x14ac:dyDescent="0.3">
      <c r="A568" s="2"/>
      <c r="B568" s="27"/>
      <c r="C568" s="6"/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6" x14ac:dyDescent="0.3">
      <c r="A569" s="2"/>
      <c r="B569" s="27"/>
      <c r="C569" s="6"/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6" x14ac:dyDescent="0.3">
      <c r="A570" s="2"/>
      <c r="B570" s="27"/>
      <c r="C570" s="6"/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6" x14ac:dyDescent="0.3">
      <c r="A571" s="2"/>
      <c r="B571" s="27"/>
      <c r="C571" s="6"/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6" x14ac:dyDescent="0.3">
      <c r="A572" s="2"/>
      <c r="B572" s="27"/>
      <c r="C572" s="6"/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6" x14ac:dyDescent="0.3">
      <c r="A573" s="2"/>
      <c r="B573" s="27"/>
      <c r="C573" s="6"/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6" x14ac:dyDescent="0.3">
      <c r="A574" s="2"/>
      <c r="B574" s="27"/>
      <c r="C574" s="6"/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6" x14ac:dyDescent="0.3">
      <c r="A575" s="2"/>
      <c r="B575" s="27"/>
      <c r="C575" s="6"/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6" x14ac:dyDescent="0.3">
      <c r="A576" s="2"/>
      <c r="B576" s="27"/>
      <c r="C576" s="6"/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6" x14ac:dyDescent="0.3">
      <c r="A577" s="2"/>
      <c r="B577" s="27"/>
      <c r="C577" s="6"/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6" x14ac:dyDescent="0.3">
      <c r="A578" s="2"/>
      <c r="B578" s="27"/>
      <c r="C578" s="6"/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6" x14ac:dyDescent="0.3">
      <c r="A579" s="2"/>
      <c r="B579" s="27"/>
      <c r="C579" s="6"/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6" x14ac:dyDescent="0.3">
      <c r="A580" s="2"/>
      <c r="B580" s="27"/>
      <c r="C580" s="6"/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6" x14ac:dyDescent="0.3">
      <c r="A581" s="2"/>
      <c r="B581" s="27"/>
      <c r="C581" s="6"/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6" x14ac:dyDescent="0.3">
      <c r="A582" s="2"/>
      <c r="B582" s="27"/>
      <c r="C582" s="6"/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6" x14ac:dyDescent="0.3">
      <c r="A583" s="2"/>
      <c r="B583" s="27"/>
      <c r="C583" s="6"/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6" x14ac:dyDescent="0.3">
      <c r="A584" s="2"/>
      <c r="B584" s="27"/>
      <c r="C584" s="6"/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6" x14ac:dyDescent="0.3">
      <c r="A585" s="2"/>
      <c r="B585" s="27"/>
      <c r="C585" s="6"/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6" x14ac:dyDescent="0.3">
      <c r="A586" s="2"/>
      <c r="B586" s="27"/>
      <c r="C586" s="6"/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6" x14ac:dyDescent="0.3">
      <c r="A587" s="2"/>
      <c r="B587" s="27"/>
      <c r="C587" s="6"/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6" x14ac:dyDescent="0.3">
      <c r="A588" s="2"/>
      <c r="B588" s="27"/>
      <c r="C588" s="6"/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6" x14ac:dyDescent="0.3">
      <c r="A589" s="2"/>
      <c r="B589" s="27"/>
      <c r="C589" s="6"/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6" x14ac:dyDescent="0.3">
      <c r="A590" s="2"/>
      <c r="B590" s="27"/>
      <c r="C590" s="6"/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6" x14ac:dyDescent="0.3">
      <c r="A591" s="2"/>
      <c r="B591" s="27"/>
      <c r="C591" s="6"/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6" x14ac:dyDescent="0.3">
      <c r="A592" s="2"/>
      <c r="B592" s="27"/>
      <c r="C592" s="6"/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6" x14ac:dyDescent="0.3">
      <c r="A593" s="2"/>
      <c r="B593" s="27"/>
      <c r="C593" s="6"/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6" x14ac:dyDescent="0.3">
      <c r="A594" s="2"/>
      <c r="B594" s="27"/>
      <c r="C594" s="6"/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6" x14ac:dyDescent="0.3">
      <c r="A595" s="2"/>
      <c r="B595" s="27"/>
      <c r="C595" s="6"/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6" x14ac:dyDescent="0.3">
      <c r="A596" s="2"/>
      <c r="B596" s="27"/>
      <c r="C596" s="6"/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6" x14ac:dyDescent="0.3">
      <c r="A597" s="2"/>
      <c r="B597" s="27"/>
      <c r="C597" s="6"/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6" x14ac:dyDescent="0.3">
      <c r="A598" s="2"/>
      <c r="B598" s="27"/>
      <c r="C598" s="6"/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6" x14ac:dyDescent="0.3">
      <c r="A599" s="2"/>
      <c r="B599" s="27"/>
      <c r="C599" s="6"/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6" x14ac:dyDescent="0.3">
      <c r="A600" s="2"/>
      <c r="B600" s="27"/>
      <c r="C600" s="6"/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6" x14ac:dyDescent="0.3">
      <c r="A601" s="2"/>
      <c r="B601" s="27"/>
      <c r="C601" s="6"/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6" x14ac:dyDescent="0.3">
      <c r="A602" s="2"/>
      <c r="B602" s="27"/>
      <c r="C602" s="6"/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6" x14ac:dyDescent="0.3">
      <c r="A603" s="2"/>
      <c r="B603" s="27"/>
      <c r="C603" s="6"/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6" x14ac:dyDescent="0.3">
      <c r="A604" s="2"/>
      <c r="B604" s="27"/>
      <c r="C604" s="6"/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6" x14ac:dyDescent="0.3">
      <c r="A605" s="2"/>
      <c r="B605" s="27"/>
      <c r="C605" s="6"/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6" x14ac:dyDescent="0.3">
      <c r="A606" s="2"/>
      <c r="B606" s="27"/>
      <c r="C606" s="6"/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6" x14ac:dyDescent="0.3">
      <c r="A607" s="2"/>
      <c r="B607" s="27"/>
      <c r="C607" s="6"/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6" x14ac:dyDescent="0.3">
      <c r="A608" s="2"/>
      <c r="B608" s="27"/>
      <c r="C608" s="6"/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6" x14ac:dyDescent="0.3">
      <c r="A609" s="2"/>
      <c r="B609" s="27"/>
      <c r="C609" s="6"/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6" x14ac:dyDescent="0.3">
      <c r="A610" s="2"/>
      <c r="B610" s="27"/>
      <c r="C610" s="6"/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6" x14ac:dyDescent="0.3">
      <c r="A611" s="2"/>
      <c r="B611" s="27"/>
      <c r="C611" s="6"/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6" x14ac:dyDescent="0.3">
      <c r="A612" s="2"/>
      <c r="B612" s="27"/>
      <c r="C612" s="6"/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6" x14ac:dyDescent="0.3">
      <c r="A613" s="2"/>
      <c r="B613" s="27"/>
      <c r="C613" s="6"/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6" x14ac:dyDescent="0.3">
      <c r="A614" s="2"/>
      <c r="B614" s="27"/>
      <c r="C614" s="6"/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6" x14ac:dyDescent="0.3">
      <c r="A615" s="2"/>
      <c r="B615" s="27"/>
      <c r="C615" s="6"/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6" x14ac:dyDescent="0.3">
      <c r="A616" s="2"/>
      <c r="B616" s="27"/>
      <c r="C616" s="6"/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6" x14ac:dyDescent="0.3">
      <c r="A617" s="2"/>
      <c r="B617" s="27"/>
      <c r="C617" s="6"/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6" x14ac:dyDescent="0.3">
      <c r="A618" s="2"/>
      <c r="B618" s="27"/>
      <c r="C618" s="6"/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6" x14ac:dyDescent="0.3">
      <c r="A619" s="2"/>
      <c r="B619" s="27"/>
      <c r="C619" s="6"/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6" x14ac:dyDescent="0.3">
      <c r="A620" s="2"/>
      <c r="B620" s="27"/>
      <c r="C620" s="6"/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6" x14ac:dyDescent="0.3">
      <c r="A621" s="2"/>
      <c r="B621" s="27"/>
      <c r="C621" s="6"/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6" x14ac:dyDescent="0.3">
      <c r="A622" s="2"/>
      <c r="B622" s="27"/>
      <c r="C622" s="6"/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6" x14ac:dyDescent="0.3">
      <c r="A623" s="2"/>
      <c r="B623" s="27"/>
      <c r="C623" s="6"/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6" x14ac:dyDescent="0.3">
      <c r="A624" s="2"/>
      <c r="B624" s="27"/>
      <c r="C624" s="6"/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6" x14ac:dyDescent="0.3">
      <c r="A625" s="2"/>
      <c r="B625" s="27"/>
      <c r="C625" s="6"/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6" x14ac:dyDescent="0.3">
      <c r="A626" s="2"/>
      <c r="B626" s="27"/>
      <c r="C626" s="6"/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6" x14ac:dyDescent="0.3">
      <c r="A627" s="2"/>
      <c r="B627" s="27"/>
      <c r="C627" s="6"/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6" x14ac:dyDescent="0.3">
      <c r="A628" s="2"/>
      <c r="B628" s="27"/>
      <c r="C628" s="6"/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6" x14ac:dyDescent="0.3">
      <c r="A629" s="2"/>
      <c r="B629" s="27"/>
      <c r="C629" s="6"/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6" x14ac:dyDescent="0.3">
      <c r="A630" s="2"/>
      <c r="B630" s="27"/>
      <c r="C630" s="6"/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6" x14ac:dyDescent="0.3">
      <c r="A631" s="2"/>
      <c r="B631" s="27"/>
      <c r="C631" s="6"/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6" x14ac:dyDescent="0.3">
      <c r="A632" s="2"/>
      <c r="B632" s="27"/>
      <c r="C632" s="6"/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6" x14ac:dyDescent="0.3">
      <c r="A633" s="2"/>
      <c r="B633" s="27"/>
      <c r="C633" s="6"/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6" x14ac:dyDescent="0.3">
      <c r="A634" s="2"/>
      <c r="B634" s="27"/>
      <c r="C634" s="6"/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6" x14ac:dyDescent="0.3">
      <c r="A635" s="2"/>
      <c r="B635" s="27"/>
      <c r="C635" s="6"/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6" x14ac:dyDescent="0.3">
      <c r="A636" s="2"/>
      <c r="B636" s="27"/>
      <c r="C636" s="6"/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6" x14ac:dyDescent="0.3">
      <c r="A637" s="2"/>
      <c r="B637" s="27"/>
      <c r="C637" s="6"/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6" x14ac:dyDescent="0.3">
      <c r="A638" s="2"/>
      <c r="B638" s="27"/>
      <c r="C638" s="6"/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6" x14ac:dyDescent="0.3">
      <c r="A639" s="2"/>
      <c r="B639" s="27"/>
      <c r="C639" s="6"/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6" x14ac:dyDescent="0.3">
      <c r="A640" s="2"/>
      <c r="B640" s="27"/>
      <c r="C640" s="6"/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6" x14ac:dyDescent="0.3">
      <c r="A641" s="2"/>
      <c r="B641" s="27"/>
      <c r="C641" s="6"/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6" x14ac:dyDescent="0.3">
      <c r="A642" s="2"/>
      <c r="B642" s="27"/>
      <c r="C642" s="6"/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6" x14ac:dyDescent="0.3">
      <c r="A643" s="2"/>
      <c r="B643" s="27"/>
      <c r="C643" s="6"/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6" x14ac:dyDescent="0.3">
      <c r="A644" s="2"/>
      <c r="B644" s="27"/>
      <c r="C644" s="6"/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6" x14ac:dyDescent="0.3">
      <c r="A645" s="2"/>
      <c r="B645" s="27"/>
      <c r="C645" s="6"/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6" x14ac:dyDescent="0.3">
      <c r="A646" s="2"/>
      <c r="B646" s="27"/>
      <c r="C646" s="6"/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6" x14ac:dyDescent="0.3">
      <c r="A647" s="2"/>
      <c r="B647" s="27"/>
      <c r="C647" s="6"/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6" x14ac:dyDescent="0.3">
      <c r="A648" s="2"/>
      <c r="B648" s="27"/>
      <c r="C648" s="6"/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6" x14ac:dyDescent="0.3">
      <c r="A649" s="2"/>
      <c r="B649" s="27"/>
      <c r="C649" s="6"/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6" x14ac:dyDescent="0.3">
      <c r="A650" s="2"/>
      <c r="B650" s="27"/>
      <c r="C650" s="6"/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6" x14ac:dyDescent="0.3">
      <c r="A651" s="2"/>
      <c r="B651" s="27"/>
      <c r="C651" s="6"/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6" x14ac:dyDescent="0.3">
      <c r="A652" s="2"/>
      <c r="B652" s="27"/>
      <c r="C652" s="6"/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6" x14ac:dyDescent="0.3">
      <c r="A653" s="2"/>
      <c r="B653" s="27"/>
      <c r="C653" s="6"/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6" x14ac:dyDescent="0.3">
      <c r="A654" s="2"/>
      <c r="B654" s="27"/>
      <c r="C654" s="6"/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6" x14ac:dyDescent="0.3">
      <c r="A655" s="2"/>
      <c r="B655" s="27"/>
      <c r="C655" s="6"/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6" x14ac:dyDescent="0.3">
      <c r="A656" s="2"/>
      <c r="B656" s="27"/>
      <c r="C656" s="6"/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6" x14ac:dyDescent="0.3">
      <c r="A657" s="2"/>
      <c r="B657" s="27"/>
      <c r="C657" s="6"/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6" x14ac:dyDescent="0.3">
      <c r="A658" s="2"/>
      <c r="B658" s="27"/>
      <c r="C658" s="6"/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6" x14ac:dyDescent="0.3">
      <c r="A659" s="2"/>
      <c r="B659" s="27"/>
      <c r="C659" s="6"/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6" x14ac:dyDescent="0.3">
      <c r="A660" s="2"/>
      <c r="B660" s="27"/>
      <c r="C660" s="6"/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6" x14ac:dyDescent="0.3">
      <c r="A661" s="2"/>
      <c r="B661" s="27"/>
      <c r="C661" s="6"/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6" x14ac:dyDescent="0.3">
      <c r="A662" s="2"/>
      <c r="B662" s="27"/>
      <c r="C662" s="6"/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6" x14ac:dyDescent="0.3">
      <c r="A663" s="2"/>
      <c r="B663" s="27"/>
      <c r="C663" s="6"/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6" x14ac:dyDescent="0.3">
      <c r="A664" s="2"/>
      <c r="B664" s="27"/>
      <c r="C664" s="6"/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6" x14ac:dyDescent="0.3">
      <c r="A665" s="2"/>
      <c r="B665" s="27"/>
      <c r="C665" s="6"/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6" x14ac:dyDescent="0.3">
      <c r="A666" s="2"/>
      <c r="B666" s="27"/>
      <c r="C666" s="6"/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6" x14ac:dyDescent="0.3">
      <c r="A667" s="2"/>
      <c r="B667" s="27"/>
      <c r="C667" s="6"/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6" x14ac:dyDescent="0.3">
      <c r="A668" s="2"/>
      <c r="B668" s="27"/>
      <c r="C668" s="6"/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6" x14ac:dyDescent="0.3">
      <c r="A669" s="2"/>
      <c r="B669" s="27"/>
      <c r="C669" s="6"/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6" x14ac:dyDescent="0.3">
      <c r="A670" s="2"/>
      <c r="B670" s="27"/>
      <c r="C670" s="6"/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6" x14ac:dyDescent="0.3">
      <c r="A671" s="2"/>
      <c r="B671" s="27"/>
      <c r="C671" s="6"/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6" x14ac:dyDescent="0.3">
      <c r="A672" s="2"/>
      <c r="B672" s="27"/>
      <c r="C672" s="6"/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6" x14ac:dyDescent="0.3">
      <c r="A673" s="2"/>
      <c r="B673" s="27"/>
      <c r="C673" s="6"/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6" x14ac:dyDescent="0.3">
      <c r="A674" s="2"/>
      <c r="B674" s="27"/>
      <c r="C674" s="6"/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6" x14ac:dyDescent="0.3">
      <c r="A675" s="2"/>
      <c r="B675" s="27"/>
      <c r="C675" s="6"/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6" x14ac:dyDescent="0.3">
      <c r="A676" s="2"/>
      <c r="B676" s="27"/>
      <c r="C676" s="6"/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6" x14ac:dyDescent="0.3">
      <c r="A677" s="2"/>
      <c r="B677" s="27"/>
      <c r="C677" s="6"/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6" x14ac:dyDescent="0.3">
      <c r="A678" s="2"/>
      <c r="B678" s="27"/>
      <c r="C678" s="6"/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6" x14ac:dyDescent="0.3">
      <c r="A679" s="2"/>
      <c r="B679" s="27"/>
      <c r="C679" s="6"/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6" x14ac:dyDescent="0.3">
      <c r="A680" s="2"/>
      <c r="B680" s="27"/>
      <c r="C680" s="6"/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6" x14ac:dyDescent="0.3">
      <c r="A681" s="2"/>
      <c r="B681" s="27"/>
      <c r="C681" s="6"/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6" x14ac:dyDescent="0.3">
      <c r="A682" s="2"/>
      <c r="B682" s="27"/>
      <c r="C682" s="6"/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6" x14ac:dyDescent="0.3">
      <c r="A683" s="2"/>
      <c r="B683" s="27"/>
      <c r="C683" s="6"/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6" x14ac:dyDescent="0.3">
      <c r="A684" s="2"/>
      <c r="B684" s="27"/>
      <c r="C684" s="6"/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6" x14ac:dyDescent="0.3">
      <c r="A685" s="2"/>
      <c r="B685" s="27"/>
      <c r="C685" s="6"/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6" x14ac:dyDescent="0.3">
      <c r="A686" s="2"/>
      <c r="B686" s="27"/>
      <c r="C686" s="6"/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6" x14ac:dyDescent="0.3">
      <c r="A687" s="2"/>
      <c r="B687" s="27"/>
      <c r="C687" s="6"/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6" x14ac:dyDescent="0.3">
      <c r="A688" s="2"/>
      <c r="B688" s="27"/>
      <c r="C688" s="6"/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6" x14ac:dyDescent="0.3">
      <c r="A689" s="2"/>
      <c r="B689" s="27"/>
      <c r="C689" s="6"/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6" x14ac:dyDescent="0.3">
      <c r="A690" s="2"/>
      <c r="B690" s="27"/>
      <c r="C690" s="6"/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6" x14ac:dyDescent="0.3">
      <c r="A691" s="2"/>
      <c r="B691" s="27"/>
      <c r="C691" s="6"/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6" x14ac:dyDescent="0.3">
      <c r="A692" s="2"/>
      <c r="B692" s="27"/>
      <c r="C692" s="6"/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6" x14ac:dyDescent="0.3">
      <c r="A693" s="2"/>
      <c r="B693" s="27"/>
      <c r="C693" s="6"/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6" x14ac:dyDescent="0.3">
      <c r="A694" s="2"/>
      <c r="B694" s="27"/>
      <c r="C694" s="6"/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6" x14ac:dyDescent="0.3">
      <c r="A695" s="2"/>
      <c r="B695" s="27"/>
      <c r="C695" s="6"/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6" x14ac:dyDescent="0.3">
      <c r="A696" s="2"/>
      <c r="B696" s="27"/>
      <c r="C696" s="6"/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6" x14ac:dyDescent="0.3">
      <c r="A697" s="2"/>
      <c r="B697" s="27"/>
      <c r="C697" s="6"/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6" x14ac:dyDescent="0.3">
      <c r="A698" s="2"/>
      <c r="B698" s="27"/>
      <c r="C698" s="6"/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6" x14ac:dyDescent="0.3">
      <c r="A699" s="2"/>
      <c r="B699" s="27"/>
      <c r="C699" s="6"/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6" x14ac:dyDescent="0.3">
      <c r="A700" s="2"/>
      <c r="B700" s="27"/>
      <c r="C700" s="6"/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6" x14ac:dyDescent="0.3">
      <c r="A701" s="2"/>
      <c r="B701" s="27"/>
      <c r="C701" s="6"/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6" x14ac:dyDescent="0.3">
      <c r="A702" s="2"/>
      <c r="B702" s="27"/>
      <c r="C702" s="6"/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6" x14ac:dyDescent="0.3">
      <c r="A703" s="2"/>
      <c r="B703" s="27"/>
      <c r="C703" s="6"/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6" x14ac:dyDescent="0.3">
      <c r="A704" s="2"/>
      <c r="B704" s="27"/>
      <c r="C704" s="6"/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6" x14ac:dyDescent="0.3">
      <c r="A705" s="2"/>
      <c r="B705" s="27"/>
      <c r="C705" s="6"/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6" x14ac:dyDescent="0.3">
      <c r="A706" s="2"/>
      <c r="B706" s="27"/>
      <c r="C706" s="6"/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6" x14ac:dyDescent="0.3">
      <c r="A707" s="2"/>
      <c r="B707" s="27"/>
      <c r="C707" s="6"/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6" x14ac:dyDescent="0.3">
      <c r="A708" s="2"/>
      <c r="B708" s="27"/>
      <c r="C708" s="6"/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6" x14ac:dyDescent="0.3">
      <c r="A709" s="2"/>
      <c r="B709" s="27"/>
      <c r="C709" s="6"/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6" x14ac:dyDescent="0.3">
      <c r="A710" s="2"/>
      <c r="B710" s="27"/>
      <c r="C710" s="6"/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6" x14ac:dyDescent="0.3">
      <c r="A711" s="2"/>
      <c r="B711" s="27"/>
      <c r="C711" s="6"/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6" x14ac:dyDescent="0.3">
      <c r="A712" s="2"/>
      <c r="B712" s="27"/>
      <c r="C712" s="6"/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6" x14ac:dyDescent="0.3">
      <c r="A713" s="2"/>
      <c r="B713" s="27"/>
      <c r="C713" s="6"/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6" x14ac:dyDescent="0.3">
      <c r="A714" s="2"/>
      <c r="B714" s="27"/>
      <c r="C714" s="6"/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6" x14ac:dyDescent="0.3">
      <c r="A715" s="2"/>
      <c r="B715" s="27"/>
      <c r="C715" s="6"/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6" x14ac:dyDescent="0.3">
      <c r="A716" s="2"/>
      <c r="B716" s="27"/>
      <c r="C716" s="6"/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6" x14ac:dyDescent="0.3">
      <c r="A717" s="2"/>
      <c r="B717" s="27"/>
      <c r="C717" s="6"/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6" x14ac:dyDescent="0.3">
      <c r="A718" s="2"/>
      <c r="B718" s="27"/>
      <c r="C718" s="6"/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6" x14ac:dyDescent="0.3">
      <c r="A719" s="2"/>
      <c r="B719" s="27"/>
      <c r="C719" s="6"/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6" x14ac:dyDescent="0.3">
      <c r="A720" s="2"/>
      <c r="B720" s="27"/>
      <c r="C720" s="6"/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6" x14ac:dyDescent="0.3">
      <c r="A721" s="2"/>
      <c r="B721" s="27"/>
      <c r="C721" s="6"/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6" x14ac:dyDescent="0.3">
      <c r="A722" s="2"/>
      <c r="B722" s="27"/>
      <c r="C722" s="6"/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6" x14ac:dyDescent="0.3">
      <c r="A723" s="2"/>
      <c r="B723" s="27"/>
      <c r="C723" s="6"/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6" x14ac:dyDescent="0.3">
      <c r="A724" s="2"/>
      <c r="B724" s="27"/>
      <c r="C724" s="6"/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6" x14ac:dyDescent="0.3">
      <c r="A725" s="2"/>
      <c r="B725" s="27"/>
      <c r="C725" s="6"/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6" x14ac:dyDescent="0.3">
      <c r="A726" s="2"/>
      <c r="B726" s="27"/>
      <c r="C726" s="6"/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6" x14ac:dyDescent="0.3">
      <c r="A727" s="2"/>
      <c r="B727" s="27"/>
      <c r="C727" s="6"/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6" x14ac:dyDescent="0.3">
      <c r="A728" s="2"/>
      <c r="B728" s="27"/>
      <c r="C728" s="6"/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6" x14ac:dyDescent="0.3">
      <c r="A729" s="2"/>
      <c r="B729" s="27"/>
      <c r="C729" s="6"/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6" x14ac:dyDescent="0.3">
      <c r="A730" s="2"/>
      <c r="B730" s="27"/>
      <c r="C730" s="6"/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6" x14ac:dyDescent="0.3">
      <c r="A731" s="2"/>
      <c r="B731" s="27"/>
      <c r="C731" s="6"/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6" x14ac:dyDescent="0.3">
      <c r="A732" s="2"/>
      <c r="B732" s="27"/>
      <c r="C732" s="6"/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6" x14ac:dyDescent="0.3">
      <c r="A733" s="2"/>
      <c r="B733" s="27"/>
      <c r="C733" s="6"/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6" x14ac:dyDescent="0.3">
      <c r="A734" s="2"/>
      <c r="B734" s="27"/>
      <c r="C734" s="6"/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6" x14ac:dyDescent="0.3">
      <c r="A735" s="2"/>
      <c r="B735" s="27"/>
      <c r="C735" s="6"/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6" x14ac:dyDescent="0.3">
      <c r="A736" s="2"/>
      <c r="B736" s="27"/>
      <c r="C736" s="6"/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6" x14ac:dyDescent="0.3">
      <c r="A737" s="2"/>
      <c r="B737" s="27"/>
      <c r="C737" s="6"/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6" x14ac:dyDescent="0.3">
      <c r="A738" s="2"/>
      <c r="B738" s="27"/>
      <c r="C738" s="6"/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6" x14ac:dyDescent="0.3">
      <c r="A739" s="2"/>
      <c r="B739" s="27"/>
      <c r="C739" s="6"/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6" x14ac:dyDescent="0.3">
      <c r="A740" s="2"/>
      <c r="B740" s="27"/>
      <c r="C740" s="6"/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6" x14ac:dyDescent="0.3">
      <c r="A741" s="2"/>
      <c r="B741" s="27"/>
      <c r="C741" s="6"/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6" x14ac:dyDescent="0.3">
      <c r="A742" s="2"/>
      <c r="B742" s="27"/>
      <c r="C742" s="6"/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6" x14ac:dyDescent="0.3">
      <c r="A743" s="2"/>
      <c r="B743" s="27"/>
      <c r="C743" s="6"/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6" x14ac:dyDescent="0.3">
      <c r="A744" s="2"/>
      <c r="B744" s="27"/>
      <c r="C744" s="6"/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6" x14ac:dyDescent="0.3">
      <c r="A745" s="2"/>
      <c r="B745" s="27"/>
      <c r="C745" s="6"/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6" x14ac:dyDescent="0.3">
      <c r="A746" s="2"/>
      <c r="B746" s="27"/>
      <c r="C746" s="6"/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6" x14ac:dyDescent="0.3">
      <c r="A747" s="2"/>
      <c r="B747" s="27"/>
      <c r="C747" s="6"/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6" x14ac:dyDescent="0.3">
      <c r="A748" s="2"/>
      <c r="B748" s="27"/>
      <c r="C748" s="6"/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6" x14ac:dyDescent="0.3">
      <c r="A749" s="2"/>
      <c r="B749" s="27"/>
      <c r="C749" s="6"/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6" x14ac:dyDescent="0.3">
      <c r="A750" s="2"/>
      <c r="B750" s="27"/>
      <c r="C750" s="6"/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6" x14ac:dyDescent="0.3">
      <c r="A751" s="2"/>
      <c r="B751" s="27"/>
      <c r="C751" s="6"/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6" x14ac:dyDescent="0.3">
      <c r="A752" s="2"/>
      <c r="B752" s="27"/>
      <c r="C752" s="6"/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6" x14ac:dyDescent="0.3">
      <c r="A753" s="2"/>
      <c r="B753" s="27"/>
      <c r="C753" s="6"/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6" x14ac:dyDescent="0.3">
      <c r="A754" s="2"/>
      <c r="B754" s="27"/>
      <c r="C754" s="6"/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6" x14ac:dyDescent="0.3">
      <c r="A755" s="2"/>
      <c r="B755" s="27"/>
      <c r="C755" s="6"/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6" x14ac:dyDescent="0.3">
      <c r="A756" s="2"/>
      <c r="B756" s="27"/>
      <c r="C756" s="6"/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6" x14ac:dyDescent="0.3">
      <c r="A757" s="2"/>
      <c r="B757" s="27"/>
      <c r="C757" s="6"/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6" x14ac:dyDescent="0.3">
      <c r="A758" s="2"/>
      <c r="B758" s="27"/>
      <c r="C758" s="6"/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6" x14ac:dyDescent="0.3">
      <c r="A759" s="2"/>
      <c r="B759" s="27"/>
      <c r="C759" s="6"/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6" x14ac:dyDescent="0.3">
      <c r="A760" s="2"/>
      <c r="B760" s="27"/>
      <c r="C760" s="6"/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6" x14ac:dyDescent="0.3">
      <c r="A761" s="2"/>
      <c r="B761" s="27"/>
      <c r="C761" s="6"/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6" x14ac:dyDescent="0.3">
      <c r="A762" s="2"/>
      <c r="B762" s="27"/>
      <c r="C762" s="6"/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6" x14ac:dyDescent="0.3">
      <c r="A763" s="2"/>
      <c r="B763" s="27"/>
      <c r="C763" s="6"/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6" x14ac:dyDescent="0.3">
      <c r="A764" s="2"/>
      <c r="B764" s="27"/>
      <c r="C764" s="6"/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6" x14ac:dyDescent="0.3">
      <c r="A765" s="2"/>
      <c r="B765" s="27"/>
      <c r="C765" s="6"/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6" x14ac:dyDescent="0.3">
      <c r="A766" s="2"/>
      <c r="B766" s="27"/>
      <c r="C766" s="6"/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6" x14ac:dyDescent="0.3">
      <c r="A767" s="2"/>
      <c r="B767" s="27"/>
      <c r="C767" s="6"/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6" x14ac:dyDescent="0.3">
      <c r="A768" s="2"/>
      <c r="B768" s="27"/>
      <c r="C768" s="6"/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6" x14ac:dyDescent="0.3">
      <c r="A769" s="2"/>
      <c r="B769" s="27"/>
      <c r="C769" s="6"/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6" x14ac:dyDescent="0.3">
      <c r="A770" s="2"/>
      <c r="B770" s="27"/>
      <c r="C770" s="6"/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6" x14ac:dyDescent="0.3">
      <c r="A771" s="2"/>
      <c r="B771" s="27"/>
      <c r="C771" s="6"/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6" x14ac:dyDescent="0.3">
      <c r="A772" s="2"/>
      <c r="B772" s="27"/>
      <c r="C772" s="6"/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6" x14ac:dyDescent="0.3">
      <c r="A773" s="2"/>
      <c r="B773" s="27"/>
      <c r="C773" s="6"/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6" x14ac:dyDescent="0.3">
      <c r="A774" s="2"/>
      <c r="B774" s="27"/>
      <c r="C774" s="6"/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6" x14ac:dyDescent="0.3">
      <c r="A775" s="2"/>
      <c r="B775" s="27"/>
      <c r="C775" s="6"/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6" x14ac:dyDescent="0.3">
      <c r="A776" s="2"/>
      <c r="B776" s="27"/>
      <c r="C776" s="6"/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6" x14ac:dyDescent="0.3">
      <c r="A777" s="2"/>
      <c r="B777" s="27"/>
      <c r="C777" s="6"/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6" x14ac:dyDescent="0.3">
      <c r="A778" s="2"/>
      <c r="B778" s="27"/>
      <c r="C778" s="6"/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6" x14ac:dyDescent="0.3">
      <c r="A779" s="2"/>
      <c r="B779" s="27"/>
      <c r="C779" s="6"/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6" x14ac:dyDescent="0.3">
      <c r="A780" s="2"/>
      <c r="B780" s="27"/>
      <c r="C780" s="6"/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6" x14ac:dyDescent="0.3">
      <c r="A781" s="2"/>
      <c r="B781" s="27"/>
      <c r="C781" s="6"/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6" x14ac:dyDescent="0.3">
      <c r="A782" s="2"/>
      <c r="B782" s="27"/>
      <c r="C782" s="6"/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6" x14ac:dyDescent="0.3">
      <c r="A783" s="2"/>
      <c r="B783" s="27"/>
      <c r="C783" s="6"/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6" x14ac:dyDescent="0.3">
      <c r="A784" s="2"/>
      <c r="B784" s="27"/>
      <c r="C784" s="6"/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6" x14ac:dyDescent="0.3">
      <c r="A785" s="2"/>
      <c r="B785" s="27"/>
      <c r="C785" s="6"/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6" x14ac:dyDescent="0.3">
      <c r="A786" s="2"/>
      <c r="B786" s="27"/>
      <c r="C786" s="6"/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6" x14ac:dyDescent="0.3">
      <c r="A787" s="2"/>
      <c r="B787" s="27"/>
      <c r="C787" s="6"/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6" x14ac:dyDescent="0.3">
      <c r="A788" s="2"/>
      <c r="B788" s="27"/>
      <c r="C788" s="6"/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6" x14ac:dyDescent="0.3">
      <c r="A789" s="2"/>
      <c r="B789" s="27"/>
      <c r="C789" s="6"/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6" x14ac:dyDescent="0.3">
      <c r="A790" s="2"/>
      <c r="B790" s="27"/>
      <c r="C790" s="6"/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6" x14ac:dyDescent="0.3">
      <c r="A791" s="2"/>
      <c r="B791" s="27"/>
      <c r="C791" s="6"/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6" x14ac:dyDescent="0.3">
      <c r="A792" s="2"/>
      <c r="B792" s="27"/>
      <c r="C792" s="6"/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6" x14ac:dyDescent="0.3">
      <c r="A793" s="2"/>
      <c r="B793" s="27"/>
      <c r="C793" s="6"/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6" x14ac:dyDescent="0.3">
      <c r="A794" s="2"/>
      <c r="B794" s="27"/>
      <c r="C794" s="6"/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6" x14ac:dyDescent="0.3">
      <c r="A795" s="2"/>
      <c r="B795" s="27"/>
      <c r="C795" s="6"/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6" x14ac:dyDescent="0.3">
      <c r="A796" s="2"/>
      <c r="B796" s="27"/>
      <c r="C796" s="6"/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6" x14ac:dyDescent="0.3">
      <c r="A797" s="2"/>
      <c r="B797" s="27"/>
      <c r="C797" s="6"/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6" x14ac:dyDescent="0.3">
      <c r="A798" s="2"/>
      <c r="B798" s="27"/>
      <c r="C798" s="6"/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6" x14ac:dyDescent="0.3">
      <c r="A799" s="2"/>
      <c r="B799" s="27"/>
      <c r="C799" s="6"/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6" x14ac:dyDescent="0.3">
      <c r="A800" s="2"/>
      <c r="B800" s="27"/>
      <c r="C800" s="6"/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6" x14ac:dyDescent="0.3">
      <c r="A801" s="2"/>
      <c r="B801" s="27"/>
      <c r="C801" s="6"/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6" x14ac:dyDescent="0.3">
      <c r="A802" s="2"/>
      <c r="B802" s="27"/>
      <c r="C802" s="6"/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6" x14ac:dyDescent="0.3">
      <c r="A803" s="2"/>
      <c r="B803" s="27"/>
      <c r="C803" s="6"/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6" x14ac:dyDescent="0.3">
      <c r="A804" s="2"/>
      <c r="B804" s="27"/>
      <c r="C804" s="6"/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6" x14ac:dyDescent="0.3">
      <c r="A805" s="2"/>
      <c r="B805" s="27"/>
      <c r="C805" s="6"/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6" x14ac:dyDescent="0.3">
      <c r="A806" s="2"/>
      <c r="B806" s="27"/>
      <c r="C806" s="6"/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6" x14ac:dyDescent="0.3">
      <c r="A807" s="2"/>
      <c r="B807" s="27"/>
      <c r="C807" s="6"/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6" x14ac:dyDescent="0.3">
      <c r="A808" s="2"/>
      <c r="B808" s="27"/>
      <c r="C808" s="6"/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6" x14ac:dyDescent="0.3">
      <c r="A809" s="2"/>
      <c r="B809" s="27"/>
      <c r="C809" s="6"/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6" x14ac:dyDescent="0.3">
      <c r="A810" s="2"/>
      <c r="B810" s="27"/>
      <c r="C810" s="6"/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6" x14ac:dyDescent="0.3">
      <c r="A811" s="2"/>
      <c r="B811" s="27"/>
      <c r="C811" s="6"/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6" x14ac:dyDescent="0.3">
      <c r="A812" s="2"/>
      <c r="B812" s="27"/>
      <c r="C812" s="6"/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6" x14ac:dyDescent="0.3">
      <c r="A813" s="2"/>
      <c r="B813" s="27"/>
      <c r="C813" s="6"/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6" x14ac:dyDescent="0.3">
      <c r="A814" s="2"/>
      <c r="B814" s="27"/>
      <c r="C814" s="6"/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6" x14ac:dyDescent="0.3">
      <c r="A815" s="2"/>
      <c r="B815" s="27"/>
      <c r="C815" s="6"/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6" x14ac:dyDescent="0.3">
      <c r="A816" s="2"/>
      <c r="B816" s="27"/>
      <c r="C816" s="6"/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6" x14ac:dyDescent="0.3">
      <c r="A817" s="2"/>
      <c r="B817" s="27"/>
      <c r="C817" s="6"/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6" x14ac:dyDescent="0.3">
      <c r="A818" s="2"/>
      <c r="B818" s="27"/>
      <c r="C818" s="6"/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6" x14ac:dyDescent="0.3">
      <c r="A819" s="2"/>
      <c r="B819" s="27"/>
      <c r="C819" s="6"/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6" x14ac:dyDescent="0.3">
      <c r="A820" s="2"/>
      <c r="B820" s="27"/>
      <c r="C820" s="6"/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6" x14ac:dyDescent="0.3">
      <c r="A821" s="2"/>
      <c r="B821" s="27"/>
      <c r="C821" s="6"/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6" x14ac:dyDescent="0.3">
      <c r="A822" s="2"/>
      <c r="B822" s="27"/>
      <c r="C822" s="6"/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6" x14ac:dyDescent="0.3">
      <c r="A823" s="2"/>
      <c r="B823" s="27"/>
      <c r="C823" s="6"/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6" x14ac:dyDescent="0.3">
      <c r="A824" s="2"/>
      <c r="B824" s="27"/>
      <c r="C824" s="6"/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6" x14ac:dyDescent="0.3">
      <c r="A825" s="2"/>
      <c r="B825" s="27"/>
      <c r="C825" s="6"/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6" x14ac:dyDescent="0.3">
      <c r="A826" s="2"/>
      <c r="B826" s="27"/>
      <c r="C826" s="6"/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6" x14ac:dyDescent="0.3">
      <c r="A827" s="2"/>
      <c r="B827" s="27"/>
      <c r="C827" s="6"/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6" x14ac:dyDescent="0.3">
      <c r="A828" s="2"/>
      <c r="B828" s="27"/>
      <c r="C828" s="6"/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6" x14ac:dyDescent="0.3">
      <c r="A829" s="2"/>
      <c r="B829" s="27"/>
      <c r="C829" s="6"/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6" x14ac:dyDescent="0.3">
      <c r="A830" s="2"/>
      <c r="B830" s="27"/>
      <c r="C830" s="6"/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6" x14ac:dyDescent="0.3">
      <c r="A831" s="2"/>
      <c r="B831" s="27"/>
      <c r="C831" s="6"/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6" x14ac:dyDescent="0.3">
      <c r="A832" s="2"/>
      <c r="B832" s="27"/>
      <c r="C832" s="6"/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6" x14ac:dyDescent="0.3">
      <c r="A833" s="2"/>
      <c r="B833" s="27"/>
      <c r="C833" s="6"/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6" x14ac:dyDescent="0.3">
      <c r="A834" s="2"/>
      <c r="B834" s="27"/>
      <c r="C834" s="6"/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6" x14ac:dyDescent="0.3">
      <c r="A835" s="2"/>
      <c r="B835" s="27"/>
      <c r="C835" s="6"/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6" x14ac:dyDescent="0.3">
      <c r="A836" s="2"/>
      <c r="B836" s="27"/>
      <c r="C836" s="6"/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6" x14ac:dyDescent="0.3">
      <c r="A837" s="2"/>
      <c r="B837" s="27"/>
      <c r="C837" s="6"/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6" x14ac:dyDescent="0.3">
      <c r="A838" s="2"/>
      <c r="B838" s="27"/>
      <c r="C838" s="6"/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6" x14ac:dyDescent="0.3">
      <c r="A839" s="2"/>
      <c r="B839" s="27"/>
      <c r="C839" s="6"/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6" x14ac:dyDescent="0.3">
      <c r="A840" s="2"/>
      <c r="B840" s="27"/>
      <c r="C840" s="6"/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6" x14ac:dyDescent="0.3">
      <c r="A841" s="2"/>
      <c r="B841" s="27"/>
      <c r="C841" s="6"/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6" x14ac:dyDescent="0.3">
      <c r="A842" s="2"/>
      <c r="B842" s="27"/>
      <c r="C842" s="6"/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6" x14ac:dyDescent="0.3">
      <c r="A843" s="2"/>
      <c r="B843" s="27"/>
      <c r="C843" s="6"/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6" x14ac:dyDescent="0.3">
      <c r="A844" s="2"/>
      <c r="B844" s="27"/>
      <c r="C844" s="6"/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6" x14ac:dyDescent="0.3">
      <c r="A845" s="2"/>
      <c r="B845" s="27"/>
      <c r="C845" s="6"/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6" x14ac:dyDescent="0.3">
      <c r="A846" s="2"/>
      <c r="B846" s="27"/>
      <c r="C846" s="6"/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6" x14ac:dyDescent="0.3">
      <c r="A847" s="2"/>
      <c r="B847" s="27"/>
      <c r="C847" s="6"/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6" x14ac:dyDescent="0.3">
      <c r="A848" s="2"/>
      <c r="B848" s="27"/>
      <c r="C848" s="6"/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6" x14ac:dyDescent="0.3">
      <c r="A849" s="2"/>
      <c r="B849" s="27"/>
      <c r="C849" s="6"/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6" x14ac:dyDescent="0.3">
      <c r="A850" s="2"/>
      <c r="B850" s="27"/>
      <c r="C850" s="6"/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6" x14ac:dyDescent="0.3">
      <c r="A851" s="2"/>
      <c r="B851" s="27"/>
      <c r="C851" s="6"/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6" x14ac:dyDescent="0.3">
      <c r="A852" s="2"/>
      <c r="B852" s="27"/>
      <c r="C852" s="6"/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6" x14ac:dyDescent="0.3">
      <c r="A853" s="2"/>
      <c r="B853" s="27"/>
      <c r="C853" s="6"/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6" x14ac:dyDescent="0.3">
      <c r="A854" s="2"/>
      <c r="B854" s="27"/>
      <c r="C854" s="6"/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6" x14ac:dyDescent="0.3">
      <c r="A855" s="2"/>
      <c r="B855" s="27"/>
      <c r="C855" s="6"/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6" x14ac:dyDescent="0.3">
      <c r="A856" s="2"/>
      <c r="B856" s="27"/>
      <c r="C856" s="6"/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6" x14ac:dyDescent="0.3">
      <c r="A857" s="2"/>
      <c r="B857" s="27"/>
      <c r="C857" s="6"/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6" x14ac:dyDescent="0.3">
      <c r="A858" s="2"/>
      <c r="B858" s="27"/>
      <c r="C858" s="6"/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6" x14ac:dyDescent="0.3">
      <c r="A859" s="2"/>
      <c r="B859" s="27"/>
      <c r="C859" s="6"/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6" x14ac:dyDescent="0.3">
      <c r="A860" s="2"/>
      <c r="B860" s="27"/>
      <c r="C860" s="6"/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6" x14ac:dyDescent="0.3">
      <c r="A861" s="2"/>
      <c r="B861" s="27"/>
      <c r="C861" s="6"/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6" x14ac:dyDescent="0.3">
      <c r="A862" s="2"/>
      <c r="B862" s="27"/>
      <c r="C862" s="6"/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6" x14ac:dyDescent="0.3">
      <c r="A863" s="2"/>
      <c r="B863" s="27"/>
      <c r="C863" s="6"/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6" x14ac:dyDescent="0.3">
      <c r="A864" s="2"/>
      <c r="B864" s="27"/>
      <c r="C864" s="6"/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6" x14ac:dyDescent="0.3">
      <c r="A865" s="2"/>
      <c r="B865" s="27"/>
      <c r="C865" s="6"/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6" x14ac:dyDescent="0.3">
      <c r="A866" s="2"/>
      <c r="B866" s="27"/>
      <c r="C866" s="6"/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6" x14ac:dyDescent="0.3">
      <c r="A867" s="2"/>
      <c r="B867" s="27"/>
      <c r="C867" s="6"/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6" x14ac:dyDescent="0.3">
      <c r="A868" s="2"/>
      <c r="B868" s="27"/>
      <c r="C868" s="6"/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6" x14ac:dyDescent="0.3">
      <c r="A869" s="2"/>
      <c r="B869" s="27"/>
      <c r="C869" s="6"/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6" x14ac:dyDescent="0.3">
      <c r="A870" s="2"/>
      <c r="B870" s="27"/>
      <c r="C870" s="6"/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6" x14ac:dyDescent="0.3">
      <c r="A871" s="2"/>
      <c r="B871" s="27"/>
      <c r="C871" s="6"/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6" x14ac:dyDescent="0.3">
      <c r="A872" s="2"/>
      <c r="B872" s="27"/>
      <c r="C872" s="6"/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6" x14ac:dyDescent="0.3">
      <c r="A873" s="2"/>
      <c r="B873" s="27"/>
      <c r="C873" s="6"/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6" x14ac:dyDescent="0.3">
      <c r="A874" s="2"/>
      <c r="B874" s="27"/>
      <c r="C874" s="6"/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6" x14ac:dyDescent="0.3">
      <c r="A875" s="2"/>
      <c r="B875" s="27"/>
      <c r="C875" s="6"/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6" x14ac:dyDescent="0.3">
      <c r="A876" s="2"/>
      <c r="B876" s="27"/>
      <c r="C876" s="6"/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6" x14ac:dyDescent="0.3">
      <c r="A877" s="2"/>
      <c r="B877" s="27"/>
      <c r="C877" s="6"/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6" x14ac:dyDescent="0.3">
      <c r="A878" s="2"/>
      <c r="B878" s="27"/>
      <c r="C878" s="6"/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6" x14ac:dyDescent="0.3">
      <c r="A879" s="2"/>
      <c r="B879" s="27"/>
      <c r="C879" s="6"/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6" x14ac:dyDescent="0.3">
      <c r="A880" s="2"/>
      <c r="B880" s="27"/>
      <c r="C880" s="6"/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6" x14ac:dyDescent="0.3">
      <c r="A881" s="2"/>
      <c r="B881" s="27"/>
      <c r="C881" s="6"/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6" x14ac:dyDescent="0.3">
      <c r="A882" s="2"/>
      <c r="B882" s="27"/>
      <c r="C882" s="6"/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6" x14ac:dyDescent="0.3">
      <c r="A883" s="2"/>
      <c r="B883" s="27"/>
      <c r="C883" s="6"/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6" x14ac:dyDescent="0.3">
      <c r="A884" s="2"/>
      <c r="B884" s="27"/>
      <c r="C884" s="6"/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6" x14ac:dyDescent="0.3">
      <c r="A885" s="2"/>
      <c r="B885" s="27"/>
      <c r="C885" s="6"/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6" x14ac:dyDescent="0.3">
      <c r="A886" s="2"/>
      <c r="B886" s="27"/>
      <c r="C886" s="6"/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6" x14ac:dyDescent="0.3">
      <c r="A887" s="2"/>
      <c r="B887" s="27"/>
      <c r="C887" s="6"/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6" x14ac:dyDescent="0.3">
      <c r="A888" s="2"/>
      <c r="B888" s="27"/>
      <c r="C888" s="6"/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6" x14ac:dyDescent="0.3">
      <c r="A889" s="2"/>
      <c r="B889" s="27"/>
      <c r="C889" s="6"/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6" x14ac:dyDescent="0.3">
      <c r="A890" s="2"/>
      <c r="B890" s="27"/>
      <c r="C890" s="6"/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6" x14ac:dyDescent="0.3">
      <c r="A891" s="2"/>
      <c r="B891" s="27"/>
      <c r="C891" s="6"/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6" x14ac:dyDescent="0.3">
      <c r="A892" s="2"/>
      <c r="B892" s="27"/>
      <c r="C892" s="6"/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6" x14ac:dyDescent="0.3">
      <c r="A893" s="2"/>
      <c r="B893" s="27"/>
      <c r="C893" s="6"/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6" x14ac:dyDescent="0.3">
      <c r="A894" s="2"/>
      <c r="B894" s="27"/>
      <c r="C894" s="6"/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6" x14ac:dyDescent="0.3">
      <c r="A895" s="2"/>
      <c r="B895" s="27"/>
      <c r="C895" s="6"/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6" x14ac:dyDescent="0.3">
      <c r="A896" s="2"/>
      <c r="B896" s="27"/>
      <c r="C896" s="6"/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6" x14ac:dyDescent="0.3">
      <c r="A897" s="2"/>
      <c r="B897" s="27"/>
      <c r="C897" s="6"/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6" x14ac:dyDescent="0.3">
      <c r="A898" s="2"/>
      <c r="B898" s="27"/>
      <c r="C898" s="6"/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6" x14ac:dyDescent="0.3">
      <c r="A899" s="2"/>
      <c r="B899" s="27"/>
      <c r="C899" s="6"/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6" x14ac:dyDescent="0.3">
      <c r="A900" s="2"/>
      <c r="B900" s="27"/>
      <c r="C900" s="6"/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6" x14ac:dyDescent="0.3">
      <c r="A901" s="2"/>
      <c r="B901" s="27"/>
      <c r="C901" s="6"/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6" x14ac:dyDescent="0.3">
      <c r="A902" s="2"/>
      <c r="B902" s="27"/>
      <c r="C902" s="6"/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6" x14ac:dyDescent="0.3">
      <c r="A903" s="2"/>
      <c r="B903" s="27"/>
      <c r="C903" s="6"/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6" x14ac:dyDescent="0.3">
      <c r="A904" s="2"/>
      <c r="B904" s="27"/>
      <c r="C904" s="6"/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6" x14ac:dyDescent="0.3">
      <c r="A905" s="2"/>
      <c r="B905" s="27"/>
      <c r="C905" s="6"/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6" x14ac:dyDescent="0.3">
      <c r="A906" s="2"/>
      <c r="B906" s="27"/>
      <c r="C906" s="6"/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6" x14ac:dyDescent="0.3">
      <c r="A907" s="2"/>
      <c r="B907" s="27"/>
      <c r="C907" s="6"/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6" x14ac:dyDescent="0.3">
      <c r="A908" s="2"/>
      <c r="B908" s="27"/>
      <c r="C908" s="6"/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6" x14ac:dyDescent="0.3">
      <c r="A909" s="2"/>
      <c r="B909" s="27"/>
      <c r="C909" s="6"/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6" x14ac:dyDescent="0.3">
      <c r="A910" s="2"/>
      <c r="B910" s="27"/>
      <c r="C910" s="6"/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6" x14ac:dyDescent="0.3">
      <c r="A911" s="2"/>
      <c r="B911" s="27"/>
      <c r="C911" s="6"/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6" x14ac:dyDescent="0.3">
      <c r="A912" s="2"/>
      <c r="B912" s="27"/>
      <c r="C912" s="6"/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6" x14ac:dyDescent="0.3">
      <c r="A913" s="2"/>
      <c r="B913" s="27"/>
      <c r="C913" s="6"/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6" x14ac:dyDescent="0.3">
      <c r="A914" s="2"/>
      <c r="B914" s="27"/>
      <c r="C914" s="6"/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6" x14ac:dyDescent="0.3">
      <c r="A915" s="2"/>
      <c r="B915" s="27"/>
      <c r="C915" s="6"/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6" x14ac:dyDescent="0.3">
      <c r="A916" s="2"/>
      <c r="B916" s="27"/>
      <c r="C916" s="6"/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6" x14ac:dyDescent="0.3">
      <c r="A917" s="2"/>
      <c r="B917" s="27"/>
      <c r="C917" s="6"/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6" x14ac:dyDescent="0.3">
      <c r="A918" s="2"/>
      <c r="B918" s="27"/>
      <c r="C918" s="6"/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6" x14ac:dyDescent="0.3">
      <c r="A919" s="2"/>
      <c r="B919" s="27"/>
      <c r="C919" s="6"/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6" x14ac:dyDescent="0.3">
      <c r="A920" s="2"/>
      <c r="B920" s="27"/>
      <c r="C920" s="6"/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6" x14ac:dyDescent="0.3">
      <c r="A921" s="2"/>
      <c r="B921" s="27"/>
      <c r="C921" s="6"/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6" x14ac:dyDescent="0.3">
      <c r="A922" s="2"/>
      <c r="B922" s="27"/>
      <c r="C922" s="6"/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6" x14ac:dyDescent="0.3">
      <c r="A923" s="2"/>
      <c r="B923" s="27"/>
      <c r="C923" s="6"/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6" x14ac:dyDescent="0.3">
      <c r="A924" s="2"/>
      <c r="B924" s="27"/>
      <c r="C924" s="6"/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6" x14ac:dyDescent="0.3">
      <c r="A925" s="2"/>
      <c r="B925" s="27"/>
      <c r="C925" s="6"/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6" x14ac:dyDescent="0.3">
      <c r="A926" s="2"/>
      <c r="B926" s="27"/>
      <c r="C926" s="6"/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6" x14ac:dyDescent="0.3">
      <c r="A927" s="2"/>
      <c r="B927" s="27"/>
      <c r="C927" s="6"/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6" x14ac:dyDescent="0.3">
      <c r="A928" s="2"/>
      <c r="B928" s="27"/>
      <c r="C928" s="6"/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6" x14ac:dyDescent="0.3">
      <c r="A929" s="2"/>
      <c r="B929" s="27"/>
      <c r="C929" s="6"/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6" x14ac:dyDescent="0.3">
      <c r="A930" s="2"/>
      <c r="B930" s="27"/>
      <c r="C930" s="6"/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6" x14ac:dyDescent="0.3">
      <c r="A931" s="2"/>
      <c r="B931" s="27"/>
      <c r="C931" s="6"/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6" x14ac:dyDescent="0.3">
      <c r="A932" s="2"/>
      <c r="B932" s="27"/>
      <c r="C932" s="6"/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6" x14ac:dyDescent="0.3">
      <c r="A933" s="2"/>
      <c r="B933" s="27"/>
      <c r="C933" s="6"/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6" x14ac:dyDescent="0.3">
      <c r="A934" s="2"/>
      <c r="B934" s="27"/>
      <c r="C934" s="6"/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6" x14ac:dyDescent="0.3">
      <c r="A935" s="2"/>
      <c r="B935" s="27"/>
      <c r="C935" s="6"/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6" x14ac:dyDescent="0.3">
      <c r="A936" s="2"/>
      <c r="B936" s="27"/>
      <c r="C936" s="6"/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6" x14ac:dyDescent="0.3">
      <c r="A937" s="2"/>
      <c r="B937" s="27"/>
      <c r="C937" s="6"/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6" x14ac:dyDescent="0.3">
      <c r="A938" s="2"/>
      <c r="B938" s="27"/>
      <c r="C938" s="6"/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6" x14ac:dyDescent="0.3">
      <c r="A939" s="2"/>
      <c r="B939" s="27"/>
      <c r="C939" s="6"/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6" x14ac:dyDescent="0.3">
      <c r="A940" s="2"/>
      <c r="B940" s="27"/>
      <c r="C940" s="6"/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6" x14ac:dyDescent="0.3">
      <c r="A941" s="2"/>
      <c r="B941" s="27"/>
      <c r="C941" s="6"/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6" x14ac:dyDescent="0.3">
      <c r="A942" s="2"/>
      <c r="B942" s="27"/>
      <c r="C942" s="6"/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6" x14ac:dyDescent="0.3">
      <c r="A943" s="2"/>
      <c r="B943" s="27"/>
      <c r="C943" s="6"/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6" x14ac:dyDescent="0.3">
      <c r="A944" s="2"/>
      <c r="B944" s="27"/>
      <c r="C944" s="6"/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6" x14ac:dyDescent="0.3">
      <c r="A945" s="2"/>
      <c r="B945" s="27"/>
      <c r="C945" s="6"/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6" x14ac:dyDescent="0.3">
      <c r="A946" s="2"/>
      <c r="B946" s="27"/>
      <c r="C946" s="6"/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6" x14ac:dyDescent="0.3">
      <c r="A947" s="2"/>
      <c r="B947" s="27"/>
      <c r="C947" s="6"/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6" x14ac:dyDescent="0.3">
      <c r="A948" s="2"/>
      <c r="B948" s="27"/>
      <c r="C948" s="6"/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6" x14ac:dyDescent="0.3">
      <c r="A949" s="2"/>
      <c r="B949" s="27"/>
      <c r="C949" s="6"/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6" x14ac:dyDescent="0.3">
      <c r="A950" s="2"/>
      <c r="B950" s="27"/>
      <c r="C950" s="6"/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6" x14ac:dyDescent="0.3">
      <c r="A951" s="2"/>
      <c r="B951" s="27"/>
      <c r="C951" s="6"/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6" x14ac:dyDescent="0.3">
      <c r="A952" s="2"/>
      <c r="B952" s="27"/>
      <c r="C952" s="6"/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6" x14ac:dyDescent="0.3">
      <c r="A953" s="2"/>
      <c r="B953" s="27"/>
      <c r="C953" s="6"/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6" x14ac:dyDescent="0.3">
      <c r="A954" s="2"/>
      <c r="B954" s="27"/>
      <c r="C954" s="6"/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6" x14ac:dyDescent="0.3">
      <c r="A955" s="2"/>
      <c r="B955" s="27"/>
      <c r="C955" s="6"/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6" x14ac:dyDescent="0.3">
      <c r="A956" s="2"/>
      <c r="B956" s="27"/>
      <c r="C956" s="6"/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6" x14ac:dyDescent="0.3">
      <c r="A957" s="2"/>
      <c r="B957" s="27"/>
      <c r="C957" s="6"/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6" x14ac:dyDescent="0.3">
      <c r="A958" s="2"/>
      <c r="B958" s="27"/>
      <c r="C958" s="6"/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6" x14ac:dyDescent="0.3">
      <c r="A959" s="2"/>
      <c r="B959" s="27"/>
      <c r="C959" s="6"/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6" x14ac:dyDescent="0.3">
      <c r="A960" s="2"/>
      <c r="B960" s="27"/>
      <c r="C960" s="6"/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6" x14ac:dyDescent="0.3">
      <c r="A961" s="2"/>
      <c r="B961" s="27"/>
      <c r="C961" s="6"/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6" x14ac:dyDescent="0.3">
      <c r="A962" s="2"/>
      <c r="B962" s="27"/>
      <c r="C962" s="6"/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6" x14ac:dyDescent="0.3">
      <c r="A963" s="2"/>
      <c r="B963" s="27"/>
      <c r="C963" s="6"/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6" x14ac:dyDescent="0.3">
      <c r="A964" s="2"/>
      <c r="B964" s="27"/>
      <c r="C964" s="6"/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6" x14ac:dyDescent="0.3">
      <c r="A965" s="2"/>
      <c r="B965" s="27"/>
      <c r="C965" s="6"/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6" x14ac:dyDescent="0.3">
      <c r="A966" s="2"/>
      <c r="B966" s="27"/>
      <c r="C966" s="6"/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6" x14ac:dyDescent="0.3">
      <c r="A967" s="2"/>
      <c r="B967" s="27"/>
      <c r="C967" s="6"/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6" x14ac:dyDescent="0.3">
      <c r="A968" s="2"/>
      <c r="B968" s="27"/>
      <c r="C968" s="6"/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6" x14ac:dyDescent="0.3">
      <c r="A969" s="2"/>
      <c r="B969" s="27"/>
      <c r="C969" s="6"/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6" x14ac:dyDescent="0.3">
      <c r="A970" s="2"/>
      <c r="B970" s="27"/>
      <c r="C970" s="6"/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6" x14ac:dyDescent="0.3">
      <c r="A971" s="2"/>
      <c r="B971" s="27"/>
      <c r="C971" s="6"/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6" x14ac:dyDescent="0.3">
      <c r="A972" s="2"/>
      <c r="B972" s="27"/>
      <c r="C972" s="6"/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6" x14ac:dyDescent="0.3">
      <c r="A973" s="2"/>
      <c r="B973" s="27"/>
      <c r="C973" s="6"/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6" x14ac:dyDescent="0.3">
      <c r="A974" s="2"/>
      <c r="B974" s="27"/>
      <c r="C974" s="6"/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6" x14ac:dyDescent="0.3">
      <c r="A975" s="2"/>
      <c r="B975" s="27"/>
      <c r="C975" s="6"/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6" x14ac:dyDescent="0.3">
      <c r="A976" s="2"/>
      <c r="B976" s="27"/>
      <c r="C976" s="6"/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6" x14ac:dyDescent="0.3">
      <c r="A977" s="2"/>
      <c r="B977" s="27"/>
      <c r="C977" s="6"/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6" x14ac:dyDescent="0.3">
      <c r="A978" s="2"/>
      <c r="B978" s="27"/>
      <c r="C978" s="6"/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6" x14ac:dyDescent="0.3">
      <c r="A979" s="2"/>
      <c r="B979" s="27"/>
      <c r="C979" s="6"/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6" x14ac:dyDescent="0.3">
      <c r="A980" s="2"/>
      <c r="B980" s="27"/>
      <c r="C980" s="6"/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6" x14ac:dyDescent="0.3">
      <c r="A981" s="2"/>
      <c r="B981" s="27"/>
      <c r="C981" s="6"/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6" x14ac:dyDescent="0.3">
      <c r="A982" s="2"/>
      <c r="B982" s="27"/>
      <c r="C982" s="6"/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6" x14ac:dyDescent="0.3">
      <c r="A983" s="2"/>
      <c r="B983" s="27"/>
      <c r="C983" s="6"/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6" x14ac:dyDescent="0.3">
      <c r="A984" s="2"/>
      <c r="B984" s="27"/>
      <c r="C984" s="6"/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6" x14ac:dyDescent="0.3">
      <c r="A985" s="2"/>
      <c r="B985" s="27"/>
      <c r="C985" s="6"/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6" x14ac:dyDescent="0.3">
      <c r="A986" s="2"/>
      <c r="B986" s="27"/>
      <c r="C986" s="6"/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6" x14ac:dyDescent="0.3">
      <c r="A987" s="2"/>
      <c r="B987" s="27"/>
      <c r="C987" s="6"/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6" x14ac:dyDescent="0.3">
      <c r="A988" s="2"/>
      <c r="B988" s="27"/>
      <c r="C988" s="6"/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6" x14ac:dyDescent="0.3">
      <c r="A989" s="2"/>
      <c r="B989" s="27"/>
      <c r="C989" s="6"/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6" x14ac:dyDescent="0.3">
      <c r="A990" s="2"/>
      <c r="B990" s="27"/>
      <c r="C990" s="6"/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6" x14ac:dyDescent="0.3">
      <c r="A991" s="2"/>
      <c r="B991" s="27"/>
      <c r="C991" s="6"/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6" x14ac:dyDescent="0.3">
      <c r="A992" s="2"/>
      <c r="B992" s="27"/>
      <c r="C992" s="6"/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6" x14ac:dyDescent="0.3">
      <c r="A993" s="2"/>
      <c r="B993" s="27"/>
      <c r="C993" s="6"/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6" x14ac:dyDescent="0.3">
      <c r="A994" s="2"/>
      <c r="B994" s="27"/>
      <c r="C994" s="6"/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6" x14ac:dyDescent="0.3">
      <c r="A995" s="2"/>
      <c r="B995" s="27"/>
      <c r="C995" s="6"/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6" x14ac:dyDescent="0.3">
      <c r="A996" s="2"/>
      <c r="B996" s="27"/>
      <c r="C996" s="6"/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6" x14ac:dyDescent="0.3">
      <c r="A997" s="2"/>
      <c r="B997" s="27"/>
      <c r="C997" s="6"/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6" x14ac:dyDescent="0.3">
      <c r="A998" s="2"/>
      <c r="B998" s="27"/>
      <c r="C998" s="6"/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6" x14ac:dyDescent="0.3">
      <c r="A999" s="2"/>
      <c r="B999" s="27"/>
      <c r="C999" s="6"/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6" x14ac:dyDescent="0.3">
      <c r="A1000" s="2"/>
      <c r="B1000" s="27"/>
      <c r="C1000" s="6"/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6" x14ac:dyDescent="0.3">
      <c r="A1001" s="2"/>
      <c r="B1001" s="27"/>
      <c r="C1001" s="6"/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6" x14ac:dyDescent="0.3">
      <c r="A1002" s="2"/>
      <c r="B1002" s="27"/>
      <c r="C1002" s="6"/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3">
    <mergeCell ref="A1:C1"/>
    <mergeCell ref="F1:H1"/>
    <mergeCell ref="A23:D23"/>
  </mergeCells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6B32-FC75-4D0B-9681-53E5FB017636}">
  <dimension ref="A1:I121"/>
  <sheetViews>
    <sheetView tabSelected="1" workbookViewId="0">
      <selection activeCell="H10" sqref="H10"/>
    </sheetView>
  </sheetViews>
  <sheetFormatPr defaultRowHeight="14.4" x14ac:dyDescent="0.3"/>
  <cols>
    <col min="1" max="1" width="15.33203125" customWidth="1"/>
    <col min="2" max="2" width="20.6640625" customWidth="1"/>
    <col min="3" max="3" width="23.44140625" customWidth="1"/>
    <col min="4" max="4" width="22.88671875" customWidth="1"/>
    <col min="5" max="5" width="20.21875" style="109" customWidth="1"/>
    <col min="7" max="7" width="39.33203125" style="117" customWidth="1"/>
    <col min="8" max="8" width="23.33203125" style="111" bestFit="1" customWidth="1"/>
  </cols>
  <sheetData>
    <row r="1" spans="1:9" ht="22.8" customHeight="1" x14ac:dyDescent="0.3">
      <c r="A1" s="103" t="s">
        <v>156</v>
      </c>
      <c r="B1" s="119" t="s">
        <v>162</v>
      </c>
      <c r="C1" s="100" t="s">
        <v>154</v>
      </c>
      <c r="D1" s="99" t="s">
        <v>160</v>
      </c>
      <c r="E1" s="107" t="s">
        <v>161</v>
      </c>
      <c r="G1" s="116" t="s">
        <v>155</v>
      </c>
      <c r="H1" s="113">
        <f>SLOPE(B3:B121,E3:E121)</f>
        <v>0.84079487779063355</v>
      </c>
      <c r="I1" s="106" t="s">
        <v>159</v>
      </c>
    </row>
    <row r="2" spans="1:9" x14ac:dyDescent="0.3">
      <c r="A2" s="101">
        <v>38.92</v>
      </c>
      <c r="B2" s="101"/>
      <c r="C2" s="110">
        <v>42064</v>
      </c>
      <c r="D2" s="101">
        <f t="shared" ref="D2:D33" si="0">VLOOKUP(C2,table_SP500,6,FALSE)</f>
        <v>2067.89</v>
      </c>
      <c r="E2" s="108"/>
      <c r="H2" s="112"/>
    </row>
    <row r="3" spans="1:9" x14ac:dyDescent="0.3">
      <c r="A3" s="101">
        <v>40.75</v>
      </c>
      <c r="B3" s="101">
        <f>A3/A2</f>
        <v>1.0470195272353546</v>
      </c>
      <c r="C3" s="110">
        <v>42095</v>
      </c>
      <c r="D3" s="101">
        <f t="shared" si="0"/>
        <v>2085.5100000000002</v>
      </c>
      <c r="E3" s="108">
        <f>D3/D2</f>
        <v>1.0085207627098154</v>
      </c>
      <c r="G3" s="118" t="s">
        <v>157</v>
      </c>
      <c r="H3" s="114">
        <f>GEOMEAN(E3:E121)-1</f>
        <v>8.9271617259971681E-3</v>
      </c>
    </row>
    <row r="4" spans="1:9" x14ac:dyDescent="0.3">
      <c r="A4" s="101">
        <v>42.71</v>
      </c>
      <c r="B4" s="101">
        <f t="shared" ref="B4:B67" si="1">A4/A3</f>
        <v>1.0480981595092025</v>
      </c>
      <c r="C4" s="110">
        <v>42125</v>
      </c>
      <c r="D4" s="101">
        <f t="shared" si="0"/>
        <v>2107.39</v>
      </c>
      <c r="E4" s="108">
        <f t="shared" ref="E4:E67" si="2">D4/D3</f>
        <v>1.0104914385450081</v>
      </c>
    </row>
    <row r="5" spans="1:9" x14ac:dyDescent="0.3">
      <c r="A5" s="101">
        <v>44.21</v>
      </c>
      <c r="B5" s="101">
        <f t="shared" si="1"/>
        <v>1.035120580660267</v>
      </c>
      <c r="C5" s="110">
        <v>42156</v>
      </c>
      <c r="D5" s="101">
        <f t="shared" si="0"/>
        <v>2063.11</v>
      </c>
      <c r="E5" s="108">
        <f t="shared" si="2"/>
        <v>0.9789882271435284</v>
      </c>
      <c r="G5" s="118" t="s">
        <v>163</v>
      </c>
      <c r="H5" s="114">
        <f>EFFECT(H3*12,12)</f>
        <v>0.11254546569905344</v>
      </c>
    </row>
    <row r="6" spans="1:9" x14ac:dyDescent="0.3">
      <c r="A6" s="101">
        <v>47.76</v>
      </c>
      <c r="B6" s="101">
        <f t="shared" si="1"/>
        <v>1.0802985749830354</v>
      </c>
      <c r="C6" s="110">
        <v>42186</v>
      </c>
      <c r="D6" s="101">
        <f t="shared" si="0"/>
        <v>2103.84</v>
      </c>
      <c r="E6" s="108">
        <f t="shared" si="2"/>
        <v>1.0197420399300086</v>
      </c>
    </row>
    <row r="7" spans="1:9" x14ac:dyDescent="0.3">
      <c r="A7" s="101">
        <v>45.11</v>
      </c>
      <c r="B7" s="101">
        <f t="shared" si="1"/>
        <v>0.94451423785594646</v>
      </c>
      <c r="C7" s="110">
        <v>42217</v>
      </c>
      <c r="D7" s="101">
        <f t="shared" si="0"/>
        <v>1972.18</v>
      </c>
      <c r="E7" s="108">
        <f t="shared" si="2"/>
        <v>0.93741919537607421</v>
      </c>
      <c r="G7" s="118" t="s">
        <v>164</v>
      </c>
      <c r="H7" s="115">
        <v>3.0200000000000001E-2</v>
      </c>
    </row>
    <row r="8" spans="1:9" x14ac:dyDescent="0.3">
      <c r="A8" s="101">
        <v>46.99</v>
      </c>
      <c r="B8" s="101">
        <f t="shared" si="1"/>
        <v>1.0416759033473733</v>
      </c>
      <c r="C8" s="110">
        <v>42248</v>
      </c>
      <c r="D8" s="101">
        <f t="shared" si="0"/>
        <v>1920.03</v>
      </c>
      <c r="E8" s="108">
        <f t="shared" si="2"/>
        <v>0.97355718037907291</v>
      </c>
    </row>
    <row r="9" spans="1:9" x14ac:dyDescent="0.3">
      <c r="A9" s="101">
        <v>51.73</v>
      </c>
      <c r="B9" s="101">
        <f t="shared" si="1"/>
        <v>1.1008725260693764</v>
      </c>
      <c r="C9" s="110">
        <v>42278</v>
      </c>
      <c r="D9" s="101">
        <f t="shared" si="0"/>
        <v>2079.36</v>
      </c>
      <c r="E9" s="108">
        <f t="shared" si="2"/>
        <v>1.0829830783894003</v>
      </c>
      <c r="G9" s="118" t="s">
        <v>158</v>
      </c>
      <c r="H9" s="120">
        <f>H7+H1*(H5-H7)</f>
        <v>9.9435645769048439E-2</v>
      </c>
    </row>
    <row r="10" spans="1:9" x14ac:dyDescent="0.3">
      <c r="A10" s="101">
        <v>50.76</v>
      </c>
      <c r="B10" s="101">
        <f t="shared" si="1"/>
        <v>0.98124879180359559</v>
      </c>
      <c r="C10" s="110">
        <v>42309</v>
      </c>
      <c r="D10" s="101">
        <f t="shared" si="0"/>
        <v>2080.41</v>
      </c>
      <c r="E10" s="108">
        <f t="shared" si="2"/>
        <v>1.0005049630655585</v>
      </c>
    </row>
    <row r="11" spans="1:9" x14ac:dyDescent="0.3">
      <c r="A11" s="101">
        <v>49.79</v>
      </c>
      <c r="B11" s="101">
        <f t="shared" si="1"/>
        <v>0.98089046493301812</v>
      </c>
      <c r="C11" s="110">
        <v>42339</v>
      </c>
      <c r="D11" s="101">
        <f t="shared" si="0"/>
        <v>2043.94</v>
      </c>
      <c r="E11" s="108">
        <f t="shared" si="2"/>
        <v>0.98246980162564124</v>
      </c>
    </row>
    <row r="12" spans="1:9" x14ac:dyDescent="0.3">
      <c r="A12" s="101">
        <v>50.41</v>
      </c>
      <c r="B12" s="101">
        <f t="shared" si="1"/>
        <v>1.0124522996585659</v>
      </c>
      <c r="C12" s="110">
        <v>42370</v>
      </c>
      <c r="D12" s="101">
        <f t="shared" si="0"/>
        <v>1940.24</v>
      </c>
      <c r="E12" s="108">
        <f t="shared" si="2"/>
        <v>0.94926465551826378</v>
      </c>
    </row>
    <row r="13" spans="1:9" x14ac:dyDescent="0.3">
      <c r="A13" s="101">
        <v>48.28</v>
      </c>
      <c r="B13" s="101">
        <f t="shared" si="1"/>
        <v>0.95774647887323949</v>
      </c>
      <c r="C13" s="110">
        <v>42401</v>
      </c>
      <c r="D13" s="101">
        <f t="shared" si="0"/>
        <v>1932.23</v>
      </c>
      <c r="E13" s="108">
        <f t="shared" si="2"/>
        <v>0.99587164474498002</v>
      </c>
    </row>
    <row r="14" spans="1:9" x14ac:dyDescent="0.3">
      <c r="A14" s="101">
        <v>49.68</v>
      </c>
      <c r="B14" s="101">
        <f t="shared" si="1"/>
        <v>1.0289975144987573</v>
      </c>
      <c r="C14" s="110">
        <v>42430</v>
      </c>
      <c r="D14" s="101">
        <f t="shared" si="0"/>
        <v>2059.7399999999998</v>
      </c>
      <c r="E14" s="108">
        <f t="shared" si="2"/>
        <v>1.0659911087189411</v>
      </c>
    </row>
    <row r="15" spans="1:9" x14ac:dyDescent="0.3">
      <c r="A15" s="101">
        <v>46.79</v>
      </c>
      <c r="B15" s="101">
        <f t="shared" si="1"/>
        <v>0.94182769726247983</v>
      </c>
      <c r="C15" s="110">
        <v>42461</v>
      </c>
      <c r="D15" s="101">
        <f t="shared" si="0"/>
        <v>2065.3000000000002</v>
      </c>
      <c r="E15" s="108">
        <f t="shared" si="2"/>
        <v>1.0026993698233759</v>
      </c>
    </row>
    <row r="16" spans="1:9" x14ac:dyDescent="0.3">
      <c r="A16" s="101">
        <v>45.68</v>
      </c>
      <c r="B16" s="101">
        <f t="shared" si="1"/>
        <v>0.97627698226116688</v>
      </c>
      <c r="C16" s="110">
        <v>42491</v>
      </c>
      <c r="D16" s="101">
        <f t="shared" si="0"/>
        <v>2096.9499999999998</v>
      </c>
      <c r="E16" s="108">
        <f t="shared" si="2"/>
        <v>1.0153246501718878</v>
      </c>
    </row>
    <row r="17" spans="1:5" x14ac:dyDescent="0.3">
      <c r="A17" s="101">
        <v>47.7</v>
      </c>
      <c r="B17" s="101">
        <f t="shared" si="1"/>
        <v>1.0442206654991244</v>
      </c>
      <c r="C17" s="110">
        <v>42522</v>
      </c>
      <c r="D17" s="101">
        <f t="shared" si="0"/>
        <v>2098.86</v>
      </c>
      <c r="E17" s="108">
        <f t="shared" si="2"/>
        <v>1.0009108467059302</v>
      </c>
    </row>
    <row r="18" spans="1:5" x14ac:dyDescent="0.3">
      <c r="A18" s="101">
        <v>48.48</v>
      </c>
      <c r="B18" s="101">
        <f t="shared" si="1"/>
        <v>1.0163522012578614</v>
      </c>
      <c r="C18" s="110">
        <v>42552</v>
      </c>
      <c r="D18" s="101">
        <f t="shared" si="0"/>
        <v>2173.6</v>
      </c>
      <c r="E18" s="108">
        <f t="shared" si="2"/>
        <v>1.0356098072286859</v>
      </c>
    </row>
    <row r="19" spans="1:5" x14ac:dyDescent="0.3">
      <c r="A19" s="101">
        <v>46.96</v>
      </c>
      <c r="B19" s="101">
        <f t="shared" si="1"/>
        <v>0.96864686468646877</v>
      </c>
      <c r="C19" s="110">
        <v>42583</v>
      </c>
      <c r="D19" s="101">
        <f t="shared" si="0"/>
        <v>2170.9499999999998</v>
      </c>
      <c r="E19" s="108">
        <f t="shared" si="2"/>
        <v>0.99878082443871918</v>
      </c>
    </row>
    <row r="20" spans="1:5" x14ac:dyDescent="0.3">
      <c r="A20" s="101">
        <v>45.37</v>
      </c>
      <c r="B20" s="101">
        <f t="shared" si="1"/>
        <v>0.96614139693356038</v>
      </c>
      <c r="C20" s="110">
        <v>42614</v>
      </c>
      <c r="D20" s="101">
        <f t="shared" si="0"/>
        <v>2168.27</v>
      </c>
      <c r="E20" s="108">
        <f t="shared" si="2"/>
        <v>0.99876551740021657</v>
      </c>
    </row>
    <row r="21" spans="1:5" x14ac:dyDescent="0.3">
      <c r="A21" s="101">
        <v>44.47</v>
      </c>
      <c r="B21" s="101">
        <f t="shared" si="1"/>
        <v>0.98016310337227242</v>
      </c>
      <c r="C21" s="110">
        <v>42644</v>
      </c>
      <c r="D21" s="101">
        <f t="shared" si="0"/>
        <v>2126.15</v>
      </c>
      <c r="E21" s="108">
        <f t="shared" si="2"/>
        <v>0.98057437496252775</v>
      </c>
    </row>
    <row r="22" spans="1:5" x14ac:dyDescent="0.3">
      <c r="A22" s="101">
        <v>48.58</v>
      </c>
      <c r="B22" s="101">
        <f t="shared" si="1"/>
        <v>1.0924218574319766</v>
      </c>
      <c r="C22" s="110">
        <v>42675</v>
      </c>
      <c r="D22" s="101">
        <f t="shared" si="0"/>
        <v>2198.81</v>
      </c>
      <c r="E22" s="108">
        <f t="shared" si="2"/>
        <v>1.0341744467699832</v>
      </c>
    </row>
    <row r="23" spans="1:5" x14ac:dyDescent="0.3">
      <c r="A23" s="101">
        <v>46.74</v>
      </c>
      <c r="B23" s="101">
        <f t="shared" si="1"/>
        <v>0.96212433100041173</v>
      </c>
      <c r="C23" s="110">
        <v>42705</v>
      </c>
      <c r="D23" s="101">
        <f t="shared" si="0"/>
        <v>2238.83</v>
      </c>
      <c r="E23" s="108">
        <f t="shared" si="2"/>
        <v>1.018200754044233</v>
      </c>
    </row>
    <row r="24" spans="1:5" x14ac:dyDescent="0.3">
      <c r="A24" s="101">
        <v>46.49</v>
      </c>
      <c r="B24" s="101">
        <f t="shared" si="1"/>
        <v>0.99465126230209666</v>
      </c>
      <c r="C24" s="110">
        <v>42736</v>
      </c>
      <c r="D24" s="101">
        <f t="shared" si="0"/>
        <v>2278.87</v>
      </c>
      <c r="E24" s="108">
        <f t="shared" si="2"/>
        <v>1.0178843413747358</v>
      </c>
    </row>
    <row r="25" spans="1:5" x14ac:dyDescent="0.3">
      <c r="A25" s="101">
        <v>47.88</v>
      </c>
      <c r="B25" s="101">
        <f t="shared" si="1"/>
        <v>1.0298989029898904</v>
      </c>
      <c r="C25" s="110">
        <v>42767</v>
      </c>
      <c r="D25" s="101">
        <f t="shared" si="0"/>
        <v>2363.64</v>
      </c>
      <c r="E25" s="108">
        <f t="shared" si="2"/>
        <v>1.0371982605414087</v>
      </c>
    </row>
    <row r="26" spans="1:5" x14ac:dyDescent="0.3">
      <c r="A26" s="101">
        <v>49.38</v>
      </c>
      <c r="B26" s="101">
        <f t="shared" si="1"/>
        <v>1.031328320802005</v>
      </c>
      <c r="C26" s="110">
        <v>42795</v>
      </c>
      <c r="D26" s="101">
        <f t="shared" si="0"/>
        <v>2362.7199999999998</v>
      </c>
      <c r="E26" s="108">
        <f t="shared" si="2"/>
        <v>0.99961076982958486</v>
      </c>
    </row>
    <row r="27" spans="1:5" x14ac:dyDescent="0.3">
      <c r="A27" s="101">
        <v>50.79</v>
      </c>
      <c r="B27" s="101">
        <f t="shared" si="1"/>
        <v>1.028554070473876</v>
      </c>
      <c r="C27" s="110">
        <v>42826</v>
      </c>
      <c r="D27" s="101">
        <f t="shared" si="0"/>
        <v>2384.1999999999998</v>
      </c>
      <c r="E27" s="108">
        <f t="shared" si="2"/>
        <v>1.009091216902553</v>
      </c>
    </row>
    <row r="28" spans="1:5" x14ac:dyDescent="0.3">
      <c r="A28" s="101">
        <v>53.79</v>
      </c>
      <c r="B28" s="101">
        <f t="shared" si="1"/>
        <v>1.0590667454223273</v>
      </c>
      <c r="C28" s="110">
        <v>42856</v>
      </c>
      <c r="D28" s="101">
        <f t="shared" si="0"/>
        <v>2411.8000000000002</v>
      </c>
      <c r="E28" s="108">
        <f t="shared" si="2"/>
        <v>1.0115762100494927</v>
      </c>
    </row>
    <row r="29" spans="1:5" x14ac:dyDescent="0.3">
      <c r="A29" s="101">
        <v>49.51</v>
      </c>
      <c r="B29" s="101">
        <f t="shared" si="1"/>
        <v>0.92043130693437436</v>
      </c>
      <c r="C29" s="110">
        <v>42887</v>
      </c>
      <c r="D29" s="101">
        <f t="shared" si="0"/>
        <v>2423.41</v>
      </c>
      <c r="E29" s="108">
        <f t="shared" si="2"/>
        <v>1.0048138319927025</v>
      </c>
    </row>
    <row r="30" spans="1:5" x14ac:dyDescent="0.3">
      <c r="A30" s="101">
        <v>45.84</v>
      </c>
      <c r="B30" s="101">
        <f t="shared" si="1"/>
        <v>0.92587356089678863</v>
      </c>
      <c r="C30" s="110">
        <v>42917</v>
      </c>
      <c r="D30" s="101">
        <f t="shared" si="0"/>
        <v>2470.3000000000002</v>
      </c>
      <c r="E30" s="108">
        <f t="shared" si="2"/>
        <v>1.0193487688835154</v>
      </c>
    </row>
    <row r="31" spans="1:5" x14ac:dyDescent="0.3">
      <c r="A31" s="101">
        <v>46.58</v>
      </c>
      <c r="B31" s="101">
        <f t="shared" si="1"/>
        <v>1.0161431064572424</v>
      </c>
      <c r="C31" s="110">
        <v>42948</v>
      </c>
      <c r="D31" s="101">
        <f t="shared" si="0"/>
        <v>2471.65</v>
      </c>
      <c r="E31" s="108">
        <f t="shared" si="2"/>
        <v>1.0005464923288669</v>
      </c>
    </row>
    <row r="32" spans="1:5" x14ac:dyDescent="0.3">
      <c r="A32" s="101">
        <v>45.81</v>
      </c>
      <c r="B32" s="101">
        <f t="shared" si="1"/>
        <v>0.98346930012881073</v>
      </c>
      <c r="C32" s="110">
        <v>42979</v>
      </c>
      <c r="D32" s="101">
        <f t="shared" si="0"/>
        <v>2519.36</v>
      </c>
      <c r="E32" s="108">
        <f t="shared" si="2"/>
        <v>1.0193028948273422</v>
      </c>
    </row>
    <row r="33" spans="1:5" x14ac:dyDescent="0.3">
      <c r="A33" s="101">
        <v>46.78</v>
      </c>
      <c r="B33" s="101">
        <f t="shared" si="1"/>
        <v>1.0211744160663609</v>
      </c>
      <c r="C33" s="110">
        <v>43009</v>
      </c>
      <c r="D33" s="101">
        <f t="shared" si="0"/>
        <v>2575.2600000000002</v>
      </c>
      <c r="E33" s="108">
        <f t="shared" si="2"/>
        <v>1.022188174774546</v>
      </c>
    </row>
    <row r="34" spans="1:5" x14ac:dyDescent="0.3">
      <c r="A34" s="101">
        <v>49.32</v>
      </c>
      <c r="B34" s="101">
        <f t="shared" si="1"/>
        <v>1.0542967079948695</v>
      </c>
      <c r="C34" s="110">
        <v>43040</v>
      </c>
      <c r="D34" s="101">
        <f t="shared" ref="D34:D65" si="3">VLOOKUP(C34,table_SP500,6,FALSE)</f>
        <v>2647.58</v>
      </c>
      <c r="E34" s="108">
        <f t="shared" si="2"/>
        <v>1.0280826013684055</v>
      </c>
    </row>
    <row r="35" spans="1:5" x14ac:dyDescent="0.3">
      <c r="A35" s="101">
        <v>49.25</v>
      </c>
      <c r="B35" s="101">
        <f t="shared" si="1"/>
        <v>0.99858069748580702</v>
      </c>
      <c r="C35" s="110">
        <v>43070</v>
      </c>
      <c r="D35" s="101">
        <f t="shared" si="3"/>
        <v>2673.61</v>
      </c>
      <c r="E35" s="108">
        <f t="shared" si="2"/>
        <v>1.0098316198188535</v>
      </c>
    </row>
    <row r="36" spans="1:5" x14ac:dyDescent="0.3">
      <c r="A36" s="101">
        <v>48.71</v>
      </c>
      <c r="B36" s="101">
        <f t="shared" si="1"/>
        <v>0.98903553299492386</v>
      </c>
      <c r="C36" s="110">
        <v>43101</v>
      </c>
      <c r="D36" s="101">
        <f t="shared" si="3"/>
        <v>2823.81</v>
      </c>
      <c r="E36" s="108">
        <f t="shared" si="2"/>
        <v>1.0561787246457037</v>
      </c>
    </row>
    <row r="37" spans="1:5" x14ac:dyDescent="0.3">
      <c r="A37" s="101">
        <v>48.96</v>
      </c>
      <c r="B37" s="101">
        <f t="shared" si="1"/>
        <v>1.0051324163416135</v>
      </c>
      <c r="C37" s="110">
        <v>43132</v>
      </c>
      <c r="D37" s="101">
        <f t="shared" si="3"/>
        <v>2713.83</v>
      </c>
      <c r="E37" s="108">
        <f t="shared" si="2"/>
        <v>0.96105262039584816</v>
      </c>
    </row>
    <row r="38" spans="1:5" x14ac:dyDescent="0.3">
      <c r="A38" s="101">
        <v>49.91</v>
      </c>
      <c r="B38" s="101">
        <f t="shared" si="1"/>
        <v>1.0194035947712417</v>
      </c>
      <c r="C38" s="110">
        <v>43160</v>
      </c>
      <c r="D38" s="101">
        <f t="shared" si="3"/>
        <v>2640.87</v>
      </c>
      <c r="E38" s="108">
        <f t="shared" si="2"/>
        <v>0.97311548623163568</v>
      </c>
    </row>
    <row r="39" spans="1:5" x14ac:dyDescent="0.3">
      <c r="A39" s="101">
        <v>49.63</v>
      </c>
      <c r="B39" s="101">
        <f t="shared" si="1"/>
        <v>0.99438990182328202</v>
      </c>
      <c r="C39" s="110">
        <v>43191</v>
      </c>
      <c r="D39" s="101">
        <f t="shared" si="3"/>
        <v>2648.05</v>
      </c>
      <c r="E39" s="108">
        <f t="shared" si="2"/>
        <v>1.0027188010011854</v>
      </c>
    </row>
    <row r="40" spans="1:5" x14ac:dyDescent="0.3">
      <c r="A40" s="101">
        <v>48.86</v>
      </c>
      <c r="B40" s="101">
        <f t="shared" si="1"/>
        <v>0.98448519040902671</v>
      </c>
      <c r="C40" s="110">
        <v>43221</v>
      </c>
      <c r="D40" s="101">
        <f t="shared" si="3"/>
        <v>2705.27</v>
      </c>
      <c r="E40" s="108">
        <f t="shared" si="2"/>
        <v>1.0216083533165914</v>
      </c>
    </row>
    <row r="41" spans="1:5" x14ac:dyDescent="0.3">
      <c r="A41" s="101">
        <v>42.34</v>
      </c>
      <c r="B41" s="101">
        <f t="shared" si="1"/>
        <v>0.8665575112566517</v>
      </c>
      <c r="C41" s="110">
        <v>43252</v>
      </c>
      <c r="D41" s="101">
        <f t="shared" si="3"/>
        <v>2718.37</v>
      </c>
      <c r="E41" s="108">
        <f t="shared" si="2"/>
        <v>1.0048424002040461</v>
      </c>
    </row>
    <row r="42" spans="1:5" x14ac:dyDescent="0.3">
      <c r="A42" s="101">
        <v>45.4</v>
      </c>
      <c r="B42" s="101">
        <f t="shared" si="1"/>
        <v>1.0722720831365138</v>
      </c>
      <c r="C42" s="110">
        <v>43282</v>
      </c>
      <c r="D42" s="101">
        <f t="shared" si="3"/>
        <v>2816.29</v>
      </c>
      <c r="E42" s="108">
        <f t="shared" si="2"/>
        <v>1.0360215864654188</v>
      </c>
    </row>
    <row r="43" spans="1:5" x14ac:dyDescent="0.3">
      <c r="A43" s="101">
        <v>46.32</v>
      </c>
      <c r="B43" s="101">
        <f t="shared" si="1"/>
        <v>1.0202643171806167</v>
      </c>
      <c r="C43" s="110">
        <v>43313</v>
      </c>
      <c r="D43" s="101">
        <f t="shared" si="3"/>
        <v>2901.52</v>
      </c>
      <c r="E43" s="108">
        <f t="shared" si="2"/>
        <v>1.0302632186316041</v>
      </c>
    </row>
    <row r="44" spans="1:5" x14ac:dyDescent="0.3">
      <c r="A44" s="101">
        <v>49.6</v>
      </c>
      <c r="B44" s="101">
        <f t="shared" si="1"/>
        <v>1.0708117443868739</v>
      </c>
      <c r="C44" s="110">
        <v>43344</v>
      </c>
      <c r="D44" s="101">
        <f t="shared" si="3"/>
        <v>2913.98</v>
      </c>
      <c r="E44" s="108">
        <f t="shared" si="2"/>
        <v>1.0042943009181395</v>
      </c>
    </row>
    <row r="45" spans="1:5" x14ac:dyDescent="0.3">
      <c r="A45" s="101">
        <v>50.85</v>
      </c>
      <c r="B45" s="101">
        <f t="shared" si="1"/>
        <v>1.0252016129032258</v>
      </c>
      <c r="C45" s="110">
        <v>43374</v>
      </c>
      <c r="D45" s="101">
        <f t="shared" si="3"/>
        <v>2711.74</v>
      </c>
      <c r="E45" s="108">
        <f t="shared" si="2"/>
        <v>0.93059664102018536</v>
      </c>
    </row>
    <row r="46" spans="1:5" x14ac:dyDescent="0.3">
      <c r="A46" s="101">
        <v>58.23</v>
      </c>
      <c r="B46" s="101">
        <f t="shared" si="1"/>
        <v>1.1451327433628318</v>
      </c>
      <c r="C46" s="110">
        <v>43405</v>
      </c>
      <c r="D46" s="101">
        <f t="shared" si="3"/>
        <v>2760.17</v>
      </c>
      <c r="E46" s="108">
        <f t="shared" si="2"/>
        <v>1.0178593817991402</v>
      </c>
    </row>
    <row r="47" spans="1:5" x14ac:dyDescent="0.3">
      <c r="A47" s="101">
        <v>56.5</v>
      </c>
      <c r="B47" s="101">
        <f t="shared" si="1"/>
        <v>0.97029022840460244</v>
      </c>
      <c r="C47" s="110">
        <v>43435</v>
      </c>
      <c r="D47" s="101">
        <f t="shared" si="3"/>
        <v>2506.85</v>
      </c>
      <c r="E47" s="108">
        <f t="shared" si="2"/>
        <v>0.90822304423278266</v>
      </c>
    </row>
    <row r="48" spans="1:5" x14ac:dyDescent="0.3">
      <c r="A48" s="101">
        <v>59.78</v>
      </c>
      <c r="B48" s="101">
        <f t="shared" si="1"/>
        <v>1.0580530973451328</v>
      </c>
      <c r="C48" s="110">
        <v>43466</v>
      </c>
      <c r="D48" s="101">
        <f t="shared" si="3"/>
        <v>2704.1</v>
      </c>
      <c r="E48" s="108">
        <f t="shared" si="2"/>
        <v>1.0786844047310369</v>
      </c>
    </row>
    <row r="49" spans="1:5" x14ac:dyDescent="0.3">
      <c r="A49" s="101">
        <v>61.64</v>
      </c>
      <c r="B49" s="101">
        <f t="shared" si="1"/>
        <v>1.0311140849782536</v>
      </c>
      <c r="C49" s="110">
        <v>43497</v>
      </c>
      <c r="D49" s="101">
        <f t="shared" si="3"/>
        <v>2784.49</v>
      </c>
      <c r="E49" s="108">
        <f t="shared" si="2"/>
        <v>1.0297289301431161</v>
      </c>
    </row>
    <row r="50" spans="1:5" x14ac:dyDescent="0.3">
      <c r="A50" s="101">
        <v>65.56</v>
      </c>
      <c r="B50" s="101">
        <f t="shared" si="1"/>
        <v>1.063595068137573</v>
      </c>
      <c r="C50" s="110">
        <v>43525</v>
      </c>
      <c r="D50" s="101">
        <f t="shared" si="3"/>
        <v>2834.4</v>
      </c>
      <c r="E50" s="108">
        <f t="shared" si="2"/>
        <v>1.0179242877510783</v>
      </c>
    </row>
    <row r="51" spans="1:5" x14ac:dyDescent="0.3">
      <c r="A51" s="101">
        <v>68.510000000000005</v>
      </c>
      <c r="B51" s="101">
        <f t="shared" si="1"/>
        <v>1.0449969493593656</v>
      </c>
      <c r="C51" s="110">
        <v>43556</v>
      </c>
      <c r="D51" s="101">
        <f t="shared" si="3"/>
        <v>2945.83</v>
      </c>
      <c r="E51" s="108">
        <f t="shared" si="2"/>
        <v>1.0393134349421393</v>
      </c>
    </row>
    <row r="52" spans="1:5" x14ac:dyDescent="0.3">
      <c r="A52" s="101">
        <v>67.08</v>
      </c>
      <c r="B52" s="101">
        <f t="shared" si="1"/>
        <v>0.97912713472485757</v>
      </c>
      <c r="C52" s="110">
        <v>43586</v>
      </c>
      <c r="D52" s="101">
        <f t="shared" si="3"/>
        <v>2752.06</v>
      </c>
      <c r="E52" s="108">
        <f t="shared" si="2"/>
        <v>0.93422227351883846</v>
      </c>
    </row>
    <row r="53" spans="1:5" x14ac:dyDescent="0.3">
      <c r="A53" s="101">
        <v>74.28</v>
      </c>
      <c r="B53" s="101">
        <f t="shared" si="1"/>
        <v>1.1073345259391771</v>
      </c>
      <c r="C53" s="110">
        <v>43617</v>
      </c>
      <c r="D53" s="101">
        <f t="shared" si="3"/>
        <v>2941.76</v>
      </c>
      <c r="E53" s="108">
        <f t="shared" si="2"/>
        <v>1.068930183208215</v>
      </c>
    </row>
    <row r="54" spans="1:5" x14ac:dyDescent="0.3">
      <c r="A54" s="101">
        <v>83.9</v>
      </c>
      <c r="B54" s="101">
        <f t="shared" si="1"/>
        <v>1.1295099623047928</v>
      </c>
      <c r="C54" s="110">
        <v>43647</v>
      </c>
      <c r="D54" s="101">
        <f t="shared" si="3"/>
        <v>2980.38</v>
      </c>
      <c r="E54" s="108">
        <f t="shared" si="2"/>
        <v>1.0131281953660394</v>
      </c>
    </row>
    <row r="55" spans="1:5" x14ac:dyDescent="0.3">
      <c r="A55" s="101">
        <v>85.56</v>
      </c>
      <c r="B55" s="101">
        <f t="shared" si="1"/>
        <v>1.0197854588796185</v>
      </c>
      <c r="C55" s="110">
        <v>43678</v>
      </c>
      <c r="D55" s="101">
        <f t="shared" si="3"/>
        <v>2926.46</v>
      </c>
      <c r="E55" s="108">
        <f t="shared" si="2"/>
        <v>0.98190834725773224</v>
      </c>
    </row>
    <row r="56" spans="1:5" x14ac:dyDescent="0.3">
      <c r="A56" s="101">
        <v>78.64</v>
      </c>
      <c r="B56" s="101">
        <f t="shared" si="1"/>
        <v>0.91912108461898079</v>
      </c>
      <c r="C56" s="110">
        <v>43709</v>
      </c>
      <c r="D56" s="101">
        <f t="shared" si="3"/>
        <v>2976.74</v>
      </c>
      <c r="E56" s="108">
        <f t="shared" si="2"/>
        <v>1.0171811676906568</v>
      </c>
    </row>
    <row r="57" spans="1:5" x14ac:dyDescent="0.3">
      <c r="A57" s="101">
        <v>75.209999999999994</v>
      </c>
      <c r="B57" s="101">
        <f t="shared" si="1"/>
        <v>0.95638351983723291</v>
      </c>
      <c r="C57" s="110">
        <v>43739</v>
      </c>
      <c r="D57" s="101">
        <f t="shared" si="3"/>
        <v>3037.56</v>
      </c>
      <c r="E57" s="108">
        <f t="shared" si="2"/>
        <v>1.0204317474821449</v>
      </c>
    </row>
    <row r="58" spans="1:5" x14ac:dyDescent="0.3">
      <c r="A58" s="101">
        <v>75.98</v>
      </c>
      <c r="B58" s="101">
        <f t="shared" si="1"/>
        <v>1.0102380002659221</v>
      </c>
      <c r="C58" s="110">
        <v>43770</v>
      </c>
      <c r="D58" s="101">
        <f t="shared" si="3"/>
        <v>3140.98</v>
      </c>
      <c r="E58" s="108">
        <f t="shared" si="2"/>
        <v>1.0340470640909152</v>
      </c>
    </row>
    <row r="59" spans="1:5" x14ac:dyDescent="0.3">
      <c r="A59" s="101">
        <v>78.59</v>
      </c>
      <c r="B59" s="101">
        <f t="shared" si="1"/>
        <v>1.0343511450381679</v>
      </c>
      <c r="C59" s="110">
        <v>43800</v>
      </c>
      <c r="D59" s="101">
        <f t="shared" si="3"/>
        <v>3230.78</v>
      </c>
      <c r="E59" s="108">
        <f t="shared" si="2"/>
        <v>1.0285898031824463</v>
      </c>
    </row>
    <row r="60" spans="1:5" x14ac:dyDescent="0.3">
      <c r="A60" s="101">
        <v>75.819999999999993</v>
      </c>
      <c r="B60" s="101">
        <f t="shared" si="1"/>
        <v>0.96475378546888901</v>
      </c>
      <c r="C60" s="110">
        <v>43831</v>
      </c>
      <c r="D60" s="101">
        <f t="shared" si="3"/>
        <v>3225.52</v>
      </c>
      <c r="E60" s="108">
        <f t="shared" si="2"/>
        <v>0.99837191018887073</v>
      </c>
    </row>
    <row r="61" spans="1:5" x14ac:dyDescent="0.3">
      <c r="A61" s="101">
        <v>70.099999999999994</v>
      </c>
      <c r="B61" s="101">
        <f t="shared" si="1"/>
        <v>0.924558164072804</v>
      </c>
      <c r="C61" s="110">
        <v>43862</v>
      </c>
      <c r="D61" s="101">
        <f t="shared" si="3"/>
        <v>2954.22</v>
      </c>
      <c r="E61" s="108">
        <f t="shared" si="2"/>
        <v>0.91588953099035186</v>
      </c>
    </row>
    <row r="62" spans="1:5" x14ac:dyDescent="0.3">
      <c r="A62" s="101">
        <v>59.04</v>
      </c>
      <c r="B62" s="101">
        <f t="shared" si="1"/>
        <v>0.842225392296719</v>
      </c>
      <c r="C62" s="110">
        <v>43891</v>
      </c>
      <c r="D62" s="101">
        <f t="shared" si="3"/>
        <v>2584.59</v>
      </c>
      <c r="E62" s="108">
        <f t="shared" si="2"/>
        <v>0.87488067916404344</v>
      </c>
    </row>
    <row r="63" spans="1:5" x14ac:dyDescent="0.3">
      <c r="A63" s="101">
        <v>68.900000000000006</v>
      </c>
      <c r="B63" s="101">
        <f t="shared" si="1"/>
        <v>1.1670054200542006</v>
      </c>
      <c r="C63" s="110">
        <v>43922</v>
      </c>
      <c r="D63" s="101">
        <f t="shared" si="3"/>
        <v>2912.43</v>
      </c>
      <c r="E63" s="108">
        <f t="shared" si="2"/>
        <v>1.1268441029331537</v>
      </c>
    </row>
    <row r="64" spans="1:5" x14ac:dyDescent="0.3">
      <c r="A64" s="101">
        <v>70.040000000000006</v>
      </c>
      <c r="B64" s="101">
        <f t="shared" si="1"/>
        <v>1.0165457184325108</v>
      </c>
      <c r="C64" s="110">
        <v>43952</v>
      </c>
      <c r="D64" s="101">
        <f t="shared" si="3"/>
        <v>3044.31</v>
      </c>
      <c r="E64" s="108">
        <f t="shared" si="2"/>
        <v>1.0452817750126184</v>
      </c>
    </row>
    <row r="65" spans="1:5" x14ac:dyDescent="0.3">
      <c r="A65" s="101">
        <v>66.459999999999994</v>
      </c>
      <c r="B65" s="101">
        <f t="shared" si="1"/>
        <v>0.94888635065676741</v>
      </c>
      <c r="C65" s="110">
        <v>43983</v>
      </c>
      <c r="D65" s="101">
        <f t="shared" si="3"/>
        <v>3100.29</v>
      </c>
      <c r="E65" s="108">
        <f t="shared" si="2"/>
        <v>1.0183884032835027</v>
      </c>
    </row>
    <row r="66" spans="1:5" x14ac:dyDescent="0.3">
      <c r="A66" s="101">
        <v>69.11</v>
      </c>
      <c r="B66" s="101">
        <f t="shared" si="1"/>
        <v>1.0398736081853748</v>
      </c>
      <c r="C66" s="110">
        <v>44013</v>
      </c>
      <c r="D66" s="101">
        <f t="shared" ref="D66:D97" si="4">VLOOKUP(C66,table_SP500,6,FALSE)</f>
        <v>3271.12</v>
      </c>
      <c r="E66" s="108">
        <f t="shared" si="2"/>
        <v>1.0551012969754443</v>
      </c>
    </row>
    <row r="67" spans="1:5" x14ac:dyDescent="0.3">
      <c r="A67" s="101">
        <v>76.28</v>
      </c>
      <c r="B67" s="101">
        <f t="shared" si="1"/>
        <v>1.1037476486760238</v>
      </c>
      <c r="C67" s="110">
        <v>44044</v>
      </c>
      <c r="D67" s="101">
        <f t="shared" si="4"/>
        <v>3500.31</v>
      </c>
      <c r="E67" s="108">
        <f t="shared" si="2"/>
        <v>1.0700646873242192</v>
      </c>
    </row>
    <row r="68" spans="1:5" x14ac:dyDescent="0.3">
      <c r="A68" s="101">
        <v>78.02</v>
      </c>
      <c r="B68" s="101">
        <f t="shared" ref="B68:B121" si="5">A68/A67</f>
        <v>1.0228106974305191</v>
      </c>
      <c r="C68" s="110">
        <v>44075</v>
      </c>
      <c r="D68" s="101">
        <f t="shared" si="4"/>
        <v>3363</v>
      </c>
      <c r="E68" s="108">
        <f t="shared" ref="E68:E121" si="6">D68/D67</f>
        <v>0.9607720459045056</v>
      </c>
    </row>
    <row r="69" spans="1:5" x14ac:dyDescent="0.3">
      <c r="A69" s="101">
        <v>78.959999999999994</v>
      </c>
      <c r="B69" s="101">
        <f t="shared" si="5"/>
        <v>1.0120481927710843</v>
      </c>
      <c r="C69" s="110">
        <v>44105</v>
      </c>
      <c r="D69" s="101">
        <f t="shared" si="4"/>
        <v>3269.96</v>
      </c>
      <c r="E69" s="108">
        <f t="shared" si="6"/>
        <v>0.9723342253939935</v>
      </c>
    </row>
    <row r="70" spans="1:5" x14ac:dyDescent="0.3">
      <c r="A70" s="101">
        <v>89</v>
      </c>
      <c r="B70" s="101">
        <f t="shared" si="5"/>
        <v>1.1271529888551166</v>
      </c>
      <c r="C70" s="110">
        <v>44136</v>
      </c>
      <c r="D70" s="101">
        <f t="shared" si="4"/>
        <v>3621.63</v>
      </c>
      <c r="E70" s="108">
        <f t="shared" si="6"/>
        <v>1.1075456580508631</v>
      </c>
    </row>
    <row r="71" spans="1:5" x14ac:dyDescent="0.3">
      <c r="A71" s="101">
        <v>97.6</v>
      </c>
      <c r="B71" s="101">
        <f t="shared" si="5"/>
        <v>1.0966292134831459</v>
      </c>
      <c r="C71" s="110">
        <v>44166</v>
      </c>
      <c r="D71" s="101">
        <f t="shared" si="4"/>
        <v>3756.07</v>
      </c>
      <c r="E71" s="108">
        <f t="shared" si="6"/>
        <v>1.0371214066594323</v>
      </c>
    </row>
    <row r="72" spans="1:5" x14ac:dyDescent="0.3">
      <c r="A72" s="101">
        <v>88.32</v>
      </c>
      <c r="B72" s="101">
        <f t="shared" si="5"/>
        <v>0.90491803278688521</v>
      </c>
      <c r="C72" s="110">
        <v>44197</v>
      </c>
      <c r="D72" s="101">
        <f t="shared" si="4"/>
        <v>3714.24</v>
      </c>
      <c r="E72" s="108">
        <f t="shared" si="6"/>
        <v>0.98886335984153639</v>
      </c>
    </row>
    <row r="73" spans="1:5" x14ac:dyDescent="0.3">
      <c r="A73" s="101">
        <v>98.55</v>
      </c>
      <c r="B73" s="101">
        <f t="shared" si="5"/>
        <v>1.1158288043478262</v>
      </c>
      <c r="C73" s="110">
        <v>44228</v>
      </c>
      <c r="D73" s="101">
        <f t="shared" si="4"/>
        <v>3811.15</v>
      </c>
      <c r="E73" s="108">
        <f t="shared" si="6"/>
        <v>1.0260914749719998</v>
      </c>
    </row>
    <row r="74" spans="1:5" x14ac:dyDescent="0.3">
      <c r="A74" s="101">
        <v>100.11</v>
      </c>
      <c r="B74" s="101">
        <f t="shared" si="5"/>
        <v>1.0158295281582954</v>
      </c>
      <c r="C74" s="110">
        <v>44256</v>
      </c>
      <c r="D74" s="101">
        <f t="shared" si="4"/>
        <v>3972.89</v>
      </c>
      <c r="E74" s="108">
        <f t="shared" si="6"/>
        <v>1.0424386340081078</v>
      </c>
    </row>
    <row r="75" spans="1:5" x14ac:dyDescent="0.3">
      <c r="A75" s="101">
        <v>104.89</v>
      </c>
      <c r="B75" s="101">
        <f t="shared" si="5"/>
        <v>1.0477474777744482</v>
      </c>
      <c r="C75" s="110">
        <v>44287</v>
      </c>
      <c r="D75" s="101">
        <f t="shared" si="4"/>
        <v>4181.17</v>
      </c>
      <c r="E75" s="108">
        <f t="shared" si="6"/>
        <v>1.0524253125558474</v>
      </c>
    </row>
    <row r="76" spans="1:5" x14ac:dyDescent="0.3">
      <c r="A76" s="101">
        <v>104.33</v>
      </c>
      <c r="B76" s="101">
        <f t="shared" si="5"/>
        <v>0.9946610735055772</v>
      </c>
      <c r="C76" s="110">
        <v>44317</v>
      </c>
      <c r="D76" s="101">
        <f t="shared" si="4"/>
        <v>4204.1099999999997</v>
      </c>
      <c r="E76" s="108">
        <f t="shared" si="6"/>
        <v>1.0054865025818132</v>
      </c>
    </row>
    <row r="77" spans="1:5" x14ac:dyDescent="0.3">
      <c r="A77" s="101">
        <v>102.84</v>
      </c>
      <c r="B77" s="101">
        <f t="shared" si="5"/>
        <v>0.98571839355889967</v>
      </c>
      <c r="C77" s="110">
        <v>44348</v>
      </c>
      <c r="D77" s="101">
        <f t="shared" si="4"/>
        <v>4297.5</v>
      </c>
      <c r="E77" s="108">
        <f t="shared" si="6"/>
        <v>1.0222139763231695</v>
      </c>
    </row>
    <row r="78" spans="1:5" x14ac:dyDescent="0.3">
      <c r="A78" s="101">
        <v>111.69</v>
      </c>
      <c r="B78" s="101">
        <f t="shared" si="5"/>
        <v>1.086056009334889</v>
      </c>
      <c r="C78" s="110">
        <v>44378</v>
      </c>
      <c r="D78" s="101">
        <f t="shared" si="4"/>
        <v>4395.26</v>
      </c>
      <c r="E78" s="108">
        <f t="shared" si="6"/>
        <v>1.0227481093659105</v>
      </c>
    </row>
    <row r="79" spans="1:5" x14ac:dyDescent="0.3">
      <c r="A79" s="101">
        <v>108.07</v>
      </c>
      <c r="B79" s="101">
        <f t="shared" si="5"/>
        <v>0.96758886202882977</v>
      </c>
      <c r="C79" s="110">
        <v>44409</v>
      </c>
      <c r="D79" s="101">
        <f t="shared" si="4"/>
        <v>4522.68</v>
      </c>
      <c r="E79" s="108">
        <f t="shared" si="6"/>
        <v>1.0289903213916811</v>
      </c>
    </row>
    <row r="80" spans="1:5" x14ac:dyDescent="0.3">
      <c r="A80" s="101">
        <v>101.86</v>
      </c>
      <c r="B80" s="101">
        <f t="shared" si="5"/>
        <v>0.9425372443786435</v>
      </c>
      <c r="C80" s="110">
        <v>44440</v>
      </c>
      <c r="D80" s="101">
        <f t="shared" si="4"/>
        <v>4307.54</v>
      </c>
      <c r="E80" s="108">
        <f t="shared" si="6"/>
        <v>0.95243085957883367</v>
      </c>
    </row>
    <row r="81" spans="1:5" x14ac:dyDescent="0.3">
      <c r="A81" s="101">
        <v>97.94</v>
      </c>
      <c r="B81" s="101">
        <f t="shared" si="5"/>
        <v>0.9615158060082466</v>
      </c>
      <c r="C81" s="110">
        <v>44470</v>
      </c>
      <c r="D81" s="101">
        <f t="shared" si="4"/>
        <v>4605.38</v>
      </c>
      <c r="E81" s="108">
        <f t="shared" si="6"/>
        <v>1.0691438733012346</v>
      </c>
    </row>
    <row r="82" spans="1:5" x14ac:dyDescent="0.3">
      <c r="A82" s="101">
        <v>101.24</v>
      </c>
      <c r="B82" s="101">
        <f t="shared" si="5"/>
        <v>1.0336940984276086</v>
      </c>
      <c r="C82" s="110">
        <v>44501</v>
      </c>
      <c r="D82" s="101">
        <f t="shared" si="4"/>
        <v>4567</v>
      </c>
      <c r="E82" s="108">
        <f t="shared" si="6"/>
        <v>0.99166626858152851</v>
      </c>
    </row>
    <row r="83" spans="1:5" x14ac:dyDescent="0.3">
      <c r="A83" s="101">
        <v>108.47</v>
      </c>
      <c r="B83" s="101">
        <f t="shared" si="5"/>
        <v>1.0714144606874754</v>
      </c>
      <c r="C83" s="110">
        <v>44531</v>
      </c>
      <c r="D83" s="101">
        <f t="shared" si="4"/>
        <v>4766.18</v>
      </c>
      <c r="E83" s="108">
        <f t="shared" si="6"/>
        <v>1.0436128749726299</v>
      </c>
    </row>
    <row r="84" spans="1:5" x14ac:dyDescent="0.3">
      <c r="A84" s="101">
        <v>91.18</v>
      </c>
      <c r="B84" s="101">
        <f t="shared" si="5"/>
        <v>0.84060108785839405</v>
      </c>
      <c r="C84" s="110">
        <v>44562</v>
      </c>
      <c r="D84" s="101">
        <f t="shared" si="4"/>
        <v>4515.55</v>
      </c>
      <c r="E84" s="108">
        <f t="shared" si="6"/>
        <v>0.94741491089300023</v>
      </c>
    </row>
    <row r="85" spans="1:5" x14ac:dyDescent="0.3">
      <c r="A85" s="101">
        <v>85.12</v>
      </c>
      <c r="B85" s="101">
        <f t="shared" si="5"/>
        <v>0.93353805659135769</v>
      </c>
      <c r="C85" s="110">
        <v>44593</v>
      </c>
      <c r="D85" s="101">
        <f t="shared" si="4"/>
        <v>4373.9399999999996</v>
      </c>
      <c r="E85" s="108">
        <f t="shared" si="6"/>
        <v>0.96863947913321735</v>
      </c>
    </row>
    <row r="86" spans="1:5" x14ac:dyDescent="0.3">
      <c r="A86" s="101">
        <v>84.79</v>
      </c>
      <c r="B86" s="101">
        <f t="shared" si="5"/>
        <v>0.9961231203007519</v>
      </c>
      <c r="C86" s="110">
        <v>44621</v>
      </c>
      <c r="D86" s="101">
        <f t="shared" si="4"/>
        <v>4530.41</v>
      </c>
      <c r="E86" s="108">
        <f t="shared" si="6"/>
        <v>1.0357732387732801</v>
      </c>
    </row>
    <row r="87" spans="1:5" x14ac:dyDescent="0.3">
      <c r="A87" s="101">
        <v>69.569999999999993</v>
      </c>
      <c r="B87" s="101">
        <f t="shared" si="5"/>
        <v>0.82049770020049517</v>
      </c>
      <c r="C87" s="110">
        <v>44652</v>
      </c>
      <c r="D87" s="101">
        <f t="shared" si="4"/>
        <v>4131.93</v>
      </c>
      <c r="E87" s="108">
        <f t="shared" si="6"/>
        <v>0.91204328085096065</v>
      </c>
    </row>
    <row r="88" spans="1:5" x14ac:dyDescent="0.3">
      <c r="A88" s="101">
        <v>73.17</v>
      </c>
      <c r="B88" s="101">
        <f t="shared" si="5"/>
        <v>1.0517464424320828</v>
      </c>
      <c r="C88" s="110">
        <v>44682</v>
      </c>
      <c r="D88" s="101">
        <f t="shared" si="4"/>
        <v>4132.1499999999996</v>
      </c>
      <c r="E88" s="108">
        <f t="shared" si="6"/>
        <v>1.0000532438836087</v>
      </c>
    </row>
    <row r="89" spans="1:5" x14ac:dyDescent="0.3">
      <c r="A89" s="101">
        <v>71.7</v>
      </c>
      <c r="B89" s="101">
        <f t="shared" si="5"/>
        <v>0.97990979909799103</v>
      </c>
      <c r="C89" s="110">
        <v>44713</v>
      </c>
      <c r="D89" s="101">
        <f t="shared" si="4"/>
        <v>3785.38</v>
      </c>
      <c r="E89" s="108">
        <f t="shared" si="6"/>
        <v>0.91608000677613355</v>
      </c>
    </row>
    <row r="90" spans="1:5" x14ac:dyDescent="0.3">
      <c r="A90" s="101">
        <v>79.58</v>
      </c>
      <c r="B90" s="101">
        <f t="shared" si="5"/>
        <v>1.1099023709902371</v>
      </c>
      <c r="C90" s="110">
        <v>44743</v>
      </c>
      <c r="D90" s="101">
        <f t="shared" si="4"/>
        <v>4130.29</v>
      </c>
      <c r="E90" s="108">
        <f t="shared" si="6"/>
        <v>1.0911163476322059</v>
      </c>
    </row>
    <row r="91" spans="1:5" x14ac:dyDescent="0.3">
      <c r="A91" s="101">
        <v>78.91</v>
      </c>
      <c r="B91" s="101">
        <f t="shared" si="5"/>
        <v>0.9915807991957778</v>
      </c>
      <c r="C91" s="110">
        <v>44774</v>
      </c>
      <c r="D91" s="101">
        <f t="shared" si="4"/>
        <v>3955</v>
      </c>
      <c r="E91" s="108">
        <f t="shared" si="6"/>
        <v>0.95755988078318954</v>
      </c>
    </row>
    <row r="92" spans="1:5" x14ac:dyDescent="0.3">
      <c r="A92" s="101">
        <v>79.540000000000006</v>
      </c>
      <c r="B92" s="101">
        <f t="shared" si="5"/>
        <v>1.0079837789887214</v>
      </c>
      <c r="C92" s="110">
        <v>44805</v>
      </c>
      <c r="D92" s="101">
        <f t="shared" si="4"/>
        <v>3585.62</v>
      </c>
      <c r="E92" s="108">
        <f t="shared" si="6"/>
        <v>0.90660429835651068</v>
      </c>
    </row>
    <row r="93" spans="1:5" x14ac:dyDescent="0.3">
      <c r="A93" s="101">
        <v>81.739999999999995</v>
      </c>
      <c r="B93" s="101">
        <f t="shared" si="5"/>
        <v>1.0276590394769927</v>
      </c>
      <c r="C93" s="110">
        <v>44835</v>
      </c>
      <c r="D93" s="101">
        <f t="shared" si="4"/>
        <v>3871.98</v>
      </c>
      <c r="E93" s="108">
        <f t="shared" si="6"/>
        <v>1.0798634545768933</v>
      </c>
    </row>
    <row r="94" spans="1:5" x14ac:dyDescent="0.3">
      <c r="A94" s="101">
        <v>96.47</v>
      </c>
      <c r="B94" s="101">
        <f t="shared" si="5"/>
        <v>1.1802055297284073</v>
      </c>
      <c r="C94" s="110">
        <v>44866</v>
      </c>
      <c r="D94" s="101">
        <f t="shared" si="4"/>
        <v>4080.11</v>
      </c>
      <c r="E94" s="108">
        <f t="shared" si="6"/>
        <v>1.0537528602936999</v>
      </c>
    </row>
    <row r="95" spans="1:5" x14ac:dyDescent="0.3">
      <c r="A95" s="101">
        <v>94.18</v>
      </c>
      <c r="B95" s="101">
        <f t="shared" si="5"/>
        <v>0.97626205037835601</v>
      </c>
      <c r="C95" s="110">
        <v>44896</v>
      </c>
      <c r="D95" s="101">
        <f t="shared" si="4"/>
        <v>3839.5</v>
      </c>
      <c r="E95" s="108">
        <f t="shared" si="6"/>
        <v>0.94102855070083891</v>
      </c>
    </row>
    <row r="96" spans="1:5" x14ac:dyDescent="0.3">
      <c r="A96" s="101">
        <v>103.62</v>
      </c>
      <c r="B96" s="101">
        <f t="shared" si="5"/>
        <v>1.1002335952431515</v>
      </c>
      <c r="C96" s="110">
        <v>44927</v>
      </c>
      <c r="D96" s="101">
        <f t="shared" si="4"/>
        <v>4076.6</v>
      </c>
      <c r="E96" s="108">
        <f t="shared" si="6"/>
        <v>1.061752832400052</v>
      </c>
    </row>
    <row r="97" spans="1:5" x14ac:dyDescent="0.3">
      <c r="A97" s="101">
        <v>96.92</v>
      </c>
      <c r="B97" s="101">
        <f t="shared" si="5"/>
        <v>0.93534066782474423</v>
      </c>
      <c r="C97" s="110">
        <v>44958</v>
      </c>
      <c r="D97" s="101">
        <f t="shared" si="4"/>
        <v>3970.15</v>
      </c>
      <c r="E97" s="108">
        <f t="shared" si="6"/>
        <v>0.9738875533532847</v>
      </c>
    </row>
    <row r="98" spans="1:5" x14ac:dyDescent="0.3">
      <c r="A98" s="101">
        <v>99.36</v>
      </c>
      <c r="B98" s="101">
        <f t="shared" si="5"/>
        <v>1.0251754023937267</v>
      </c>
      <c r="C98" s="110">
        <v>44986</v>
      </c>
      <c r="D98" s="101">
        <f t="shared" ref="D98:D129" si="7">VLOOKUP(C98,table_SP500,6,FALSE)</f>
        <v>4109.3100000000004</v>
      </c>
      <c r="E98" s="108">
        <f t="shared" si="6"/>
        <v>1.035051572358727</v>
      </c>
    </row>
    <row r="99" spans="1:5" x14ac:dyDescent="0.3">
      <c r="A99" s="101">
        <v>109.05</v>
      </c>
      <c r="B99" s="101">
        <f t="shared" si="5"/>
        <v>1.0975241545893719</v>
      </c>
      <c r="C99" s="110">
        <v>45017</v>
      </c>
      <c r="D99" s="101">
        <f t="shared" si="7"/>
        <v>4169.4799999999996</v>
      </c>
      <c r="E99" s="108">
        <f t="shared" si="6"/>
        <v>1.0146423608829704</v>
      </c>
    </row>
    <row r="100" spans="1:5" x14ac:dyDescent="0.3">
      <c r="A100" s="101">
        <v>93.16</v>
      </c>
      <c r="B100" s="101">
        <f t="shared" si="5"/>
        <v>0.85428702430077941</v>
      </c>
      <c r="C100" s="110">
        <v>45047</v>
      </c>
      <c r="D100" s="101">
        <f t="shared" si="7"/>
        <v>4179.83</v>
      </c>
      <c r="E100" s="108">
        <f t="shared" si="6"/>
        <v>1.0024823239348792</v>
      </c>
    </row>
    <row r="101" spans="1:5" x14ac:dyDescent="0.3">
      <c r="A101" s="101">
        <v>94.99</v>
      </c>
      <c r="B101" s="101">
        <f t="shared" si="5"/>
        <v>1.0196436238729067</v>
      </c>
      <c r="C101" s="110">
        <v>45078</v>
      </c>
      <c r="D101" s="101">
        <f t="shared" si="7"/>
        <v>4450.38</v>
      </c>
      <c r="E101" s="108">
        <f t="shared" si="6"/>
        <v>1.0647275128414313</v>
      </c>
    </row>
    <row r="102" spans="1:5" x14ac:dyDescent="0.3">
      <c r="A102" s="101">
        <v>97.4</v>
      </c>
      <c r="B102" s="101">
        <f t="shared" si="5"/>
        <v>1.0253710916938625</v>
      </c>
      <c r="C102" s="110">
        <v>45108</v>
      </c>
      <c r="D102" s="101">
        <f t="shared" si="7"/>
        <v>4588.96</v>
      </c>
      <c r="E102" s="108">
        <f t="shared" si="6"/>
        <v>1.0311389139803793</v>
      </c>
    </row>
    <row r="103" spans="1:5" x14ac:dyDescent="0.3">
      <c r="A103" s="101">
        <v>93.44</v>
      </c>
      <c r="B103" s="101">
        <f t="shared" si="5"/>
        <v>0.95934291581108821</v>
      </c>
      <c r="C103" s="110">
        <v>45139</v>
      </c>
      <c r="D103" s="101">
        <f t="shared" si="7"/>
        <v>4507.66</v>
      </c>
      <c r="E103" s="108">
        <f t="shared" si="6"/>
        <v>0.98228356751856627</v>
      </c>
    </row>
    <row r="104" spans="1:5" x14ac:dyDescent="0.3">
      <c r="A104" s="101">
        <v>87.99</v>
      </c>
      <c r="B104" s="101">
        <f t="shared" si="5"/>
        <v>0.94167380136986301</v>
      </c>
      <c r="C104" s="110">
        <v>45170</v>
      </c>
      <c r="D104" s="101">
        <f t="shared" si="7"/>
        <v>4288.05</v>
      </c>
      <c r="E104" s="108">
        <f t="shared" si="6"/>
        <v>0.95128070883784499</v>
      </c>
    </row>
    <row r="105" spans="1:5" x14ac:dyDescent="0.3">
      <c r="A105" s="101">
        <v>88.92</v>
      </c>
      <c r="B105" s="101">
        <f t="shared" si="5"/>
        <v>1.0105693828844187</v>
      </c>
      <c r="C105" s="110">
        <v>45200</v>
      </c>
      <c r="D105" s="101">
        <f t="shared" si="7"/>
        <v>4193.8</v>
      </c>
      <c r="E105" s="108">
        <f t="shared" si="6"/>
        <v>0.97802031226314989</v>
      </c>
    </row>
    <row r="106" spans="1:5" x14ac:dyDescent="0.3">
      <c r="A106" s="101">
        <v>95.73</v>
      </c>
      <c r="B106" s="101">
        <f t="shared" si="5"/>
        <v>1.0765856950067476</v>
      </c>
      <c r="C106" s="110">
        <v>45231</v>
      </c>
      <c r="D106" s="101">
        <f t="shared" si="7"/>
        <v>4567.8</v>
      </c>
      <c r="E106" s="108">
        <f t="shared" si="6"/>
        <v>1.0891792646287377</v>
      </c>
    </row>
    <row r="107" spans="1:5" x14ac:dyDescent="0.3">
      <c r="A107" s="101">
        <v>93.06</v>
      </c>
      <c r="B107" s="101">
        <f t="shared" si="5"/>
        <v>0.97210905672203074</v>
      </c>
      <c r="C107" s="110">
        <v>45261</v>
      </c>
      <c r="D107" s="101">
        <f t="shared" si="7"/>
        <v>4769.83</v>
      </c>
      <c r="E107" s="108">
        <f t="shared" si="6"/>
        <v>1.0442291694032138</v>
      </c>
    </row>
    <row r="108" spans="1:5" x14ac:dyDescent="0.3">
      <c r="A108" s="101">
        <v>90.18</v>
      </c>
      <c r="B108" s="101">
        <f t="shared" si="5"/>
        <v>0.96905222437137339</v>
      </c>
      <c r="C108" s="110">
        <v>45292</v>
      </c>
      <c r="D108" s="101">
        <f t="shared" si="7"/>
        <v>4845.6499999999996</v>
      </c>
      <c r="E108" s="108">
        <f t="shared" si="6"/>
        <v>1.0158957447120756</v>
      </c>
    </row>
    <row r="109" spans="1:5" x14ac:dyDescent="0.3">
      <c r="A109" s="101">
        <v>91.99</v>
      </c>
      <c r="B109" s="101">
        <f t="shared" si="5"/>
        <v>1.0200709691727654</v>
      </c>
      <c r="C109" s="110">
        <v>45323</v>
      </c>
      <c r="D109" s="101">
        <f t="shared" si="7"/>
        <v>5096.2700000000004</v>
      </c>
      <c r="E109" s="108">
        <f t="shared" si="6"/>
        <v>1.0517206153973153</v>
      </c>
    </row>
    <row r="110" spans="1:5" x14ac:dyDescent="0.3">
      <c r="A110" s="101">
        <v>89.12</v>
      </c>
      <c r="B110" s="101">
        <f t="shared" si="5"/>
        <v>0.9688009566257203</v>
      </c>
      <c r="C110" s="110">
        <v>45352</v>
      </c>
      <c r="D110" s="101">
        <f t="shared" si="7"/>
        <v>5254.35</v>
      </c>
      <c r="E110" s="108">
        <f t="shared" si="6"/>
        <v>1.0310187647043818</v>
      </c>
    </row>
    <row r="111" spans="1:5" x14ac:dyDescent="0.3">
      <c r="A111" s="101">
        <v>86.29</v>
      </c>
      <c r="B111" s="101">
        <f t="shared" si="5"/>
        <v>0.96824506283662481</v>
      </c>
      <c r="C111" s="110">
        <v>45383</v>
      </c>
      <c r="D111" s="101">
        <f t="shared" si="7"/>
        <v>5035.6899999999996</v>
      </c>
      <c r="E111" s="108">
        <f t="shared" si="6"/>
        <v>0.95838495722591743</v>
      </c>
    </row>
    <row r="112" spans="1:5" x14ac:dyDescent="0.3">
      <c r="A112" s="101">
        <v>78.23</v>
      </c>
      <c r="B112" s="101">
        <f t="shared" si="5"/>
        <v>0.90659404334221805</v>
      </c>
      <c r="C112" s="110">
        <v>45413</v>
      </c>
      <c r="D112" s="101">
        <f t="shared" si="7"/>
        <v>5277.51</v>
      </c>
      <c r="E112" s="108">
        <f t="shared" si="6"/>
        <v>1.0480212244995226</v>
      </c>
    </row>
    <row r="113" spans="1:5" x14ac:dyDescent="0.3">
      <c r="A113" s="101">
        <v>76.489999999999995</v>
      </c>
      <c r="B113" s="101">
        <f t="shared" si="5"/>
        <v>0.97775789339128205</v>
      </c>
      <c r="C113" s="110">
        <v>45444</v>
      </c>
      <c r="D113" s="101">
        <f t="shared" si="7"/>
        <v>5460.48</v>
      </c>
      <c r="E113" s="108">
        <f t="shared" si="6"/>
        <v>1.0346697590340899</v>
      </c>
    </row>
    <row r="114" spans="1:5" x14ac:dyDescent="0.3">
      <c r="A114" s="101">
        <v>76.59</v>
      </c>
      <c r="B114" s="101">
        <f t="shared" si="5"/>
        <v>1.0013073604392733</v>
      </c>
      <c r="C114" s="110">
        <v>45474</v>
      </c>
      <c r="D114" s="101">
        <f t="shared" si="7"/>
        <v>5522.3</v>
      </c>
      <c r="E114" s="108">
        <f t="shared" si="6"/>
        <v>1.0113213490389124</v>
      </c>
    </row>
    <row r="115" spans="1:5" x14ac:dyDescent="0.3">
      <c r="A115" s="101">
        <v>92.92</v>
      </c>
      <c r="B115" s="101">
        <f t="shared" si="5"/>
        <v>1.2132132132132132</v>
      </c>
      <c r="C115" s="110">
        <v>45505</v>
      </c>
      <c r="D115" s="101">
        <f t="shared" si="7"/>
        <v>5648.4</v>
      </c>
      <c r="E115" s="108">
        <f t="shared" si="6"/>
        <v>1.0228346884450319</v>
      </c>
    </row>
    <row r="116" spans="1:5" x14ac:dyDescent="0.3">
      <c r="A116" s="101">
        <v>96.37</v>
      </c>
      <c r="B116" s="101">
        <f t="shared" si="5"/>
        <v>1.0371287128712872</v>
      </c>
      <c r="C116" s="110">
        <v>45536</v>
      </c>
      <c r="D116" s="101">
        <f t="shared" si="7"/>
        <v>5762.48</v>
      </c>
      <c r="E116" s="108">
        <f t="shared" si="6"/>
        <v>1.020196869910063</v>
      </c>
    </row>
    <row r="117" spans="1:5" x14ac:dyDescent="0.3">
      <c r="A117" s="101">
        <v>96.58</v>
      </c>
      <c r="B117" s="101">
        <f t="shared" si="5"/>
        <v>1.0021791013800976</v>
      </c>
      <c r="C117" s="110">
        <v>45566</v>
      </c>
      <c r="D117" s="101">
        <f t="shared" si="7"/>
        <v>5705.45</v>
      </c>
      <c r="E117" s="108">
        <f t="shared" si="6"/>
        <v>0.99010321944718249</v>
      </c>
    </row>
    <row r="118" spans="1:5" x14ac:dyDescent="0.3">
      <c r="A118" s="101">
        <v>101.28</v>
      </c>
      <c r="B118" s="101">
        <f t="shared" si="5"/>
        <v>1.0486643197349348</v>
      </c>
      <c r="C118" s="110">
        <v>45597</v>
      </c>
      <c r="D118" s="101">
        <f t="shared" si="7"/>
        <v>6032.38</v>
      </c>
      <c r="E118" s="108">
        <f t="shared" si="6"/>
        <v>1.0573013522158639</v>
      </c>
    </row>
    <row r="119" spans="1:5" x14ac:dyDescent="0.3">
      <c r="A119" s="101">
        <v>90.76</v>
      </c>
      <c r="B119" s="101">
        <f t="shared" si="5"/>
        <v>0.89612954186413907</v>
      </c>
      <c r="C119" s="110">
        <v>45627</v>
      </c>
      <c r="D119" s="101">
        <f t="shared" si="7"/>
        <v>5881.63</v>
      </c>
      <c r="E119" s="108">
        <f t="shared" si="6"/>
        <v>0.97500986343698504</v>
      </c>
    </row>
    <row r="120" spans="1:5" x14ac:dyDescent="0.3">
      <c r="A120" s="101">
        <v>107.1</v>
      </c>
      <c r="B120" s="101">
        <f t="shared" si="5"/>
        <v>1.1800352578228293</v>
      </c>
      <c r="C120" s="110">
        <v>45658</v>
      </c>
      <c r="D120" s="101">
        <f t="shared" si="7"/>
        <v>6040.53</v>
      </c>
      <c r="E120" s="108">
        <f t="shared" si="6"/>
        <v>1.0270163203057656</v>
      </c>
    </row>
    <row r="121" spans="1:5" x14ac:dyDescent="0.3">
      <c r="A121" s="101">
        <v>115.18</v>
      </c>
      <c r="B121" s="101">
        <f t="shared" si="5"/>
        <v>1.0754435107376286</v>
      </c>
      <c r="C121" s="110">
        <v>45689</v>
      </c>
      <c r="D121" s="101">
        <f t="shared" si="7"/>
        <v>5954.5</v>
      </c>
      <c r="E121" s="108">
        <f t="shared" si="6"/>
        <v>0.98575787223968758</v>
      </c>
    </row>
  </sheetData>
  <autoFilter ref="A1:E121" xr:uid="{54116B32-FC75-4D0B-9681-53E5FB01763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BE5F-613E-4466-983A-E872D7E42FB1}">
  <dimension ref="A1:I18"/>
  <sheetViews>
    <sheetView workbookViewId="0">
      <selection activeCell="H7" sqref="H7"/>
    </sheetView>
  </sheetViews>
  <sheetFormatPr defaultRowHeight="14.4" x14ac:dyDescent="0.3"/>
  <cols>
    <col min="1" max="1" width="19.77734375" customWidth="1"/>
    <col min="2" max="2" width="20.33203125" customWidth="1"/>
    <col min="3" max="3" width="21.6640625" customWidth="1"/>
  </cols>
  <sheetData>
    <row r="1" spans="1:9" x14ac:dyDescent="0.3">
      <c r="A1" t="s">
        <v>168</v>
      </c>
    </row>
    <row r="2" spans="1:9" ht="15" thickBot="1" x14ac:dyDescent="0.35"/>
    <row r="3" spans="1:9" x14ac:dyDescent="0.3">
      <c r="A3" s="136" t="s">
        <v>169</v>
      </c>
      <c r="B3" s="136"/>
    </row>
    <row r="4" spans="1:9" x14ac:dyDescent="0.3">
      <c r="A4" s="133" t="s">
        <v>170</v>
      </c>
      <c r="B4" s="133">
        <v>0.52809979979864186</v>
      </c>
    </row>
    <row r="5" spans="1:9" x14ac:dyDescent="0.3">
      <c r="A5" s="133" t="s">
        <v>171</v>
      </c>
      <c r="B5" s="133">
        <v>0.27888939854736555</v>
      </c>
    </row>
    <row r="6" spans="1:9" x14ac:dyDescent="0.3">
      <c r="A6" s="133" t="s">
        <v>172</v>
      </c>
      <c r="B6" s="133">
        <v>0.27272606007341138</v>
      </c>
    </row>
    <row r="7" spans="1:9" x14ac:dyDescent="0.3">
      <c r="A7" s="133" t="s">
        <v>173</v>
      </c>
      <c r="B7" s="133">
        <v>5.9918920791107132E-2</v>
      </c>
    </row>
    <row r="8" spans="1:9" ht="15" thickBot="1" x14ac:dyDescent="0.35">
      <c r="A8" s="134" t="s">
        <v>174</v>
      </c>
      <c r="B8" s="134">
        <v>119</v>
      </c>
    </row>
    <row r="10" spans="1:9" ht="15" thickBot="1" x14ac:dyDescent="0.35">
      <c r="A10" t="s">
        <v>175</v>
      </c>
    </row>
    <row r="11" spans="1:9" x14ac:dyDescent="0.3">
      <c r="A11" s="135"/>
      <c r="B11" s="135" t="s">
        <v>180</v>
      </c>
      <c r="C11" s="135" t="s">
        <v>181</v>
      </c>
      <c r="D11" s="135" t="s">
        <v>182</v>
      </c>
      <c r="E11" s="135" t="s">
        <v>183</v>
      </c>
      <c r="F11" s="135" t="s">
        <v>184</v>
      </c>
    </row>
    <row r="12" spans="1:9" x14ac:dyDescent="0.3">
      <c r="A12" s="133" t="s">
        <v>176</v>
      </c>
      <c r="B12" s="133">
        <v>1</v>
      </c>
      <c r="C12" s="133">
        <v>0.16245906606611343</v>
      </c>
      <c r="D12" s="133">
        <v>0.16245906606611343</v>
      </c>
      <c r="E12" s="133">
        <v>45.249729464953717</v>
      </c>
      <c r="F12" s="133">
        <v>6.7349399259802697E-10</v>
      </c>
    </row>
    <row r="13" spans="1:9" x14ac:dyDescent="0.3">
      <c r="A13" s="133" t="s">
        <v>177</v>
      </c>
      <c r="B13" s="133">
        <v>117</v>
      </c>
      <c r="C13" s="133">
        <v>0.42006241704620356</v>
      </c>
      <c r="D13" s="133">
        <v>3.5902770687709705E-3</v>
      </c>
      <c r="E13" s="133"/>
      <c r="F13" s="133"/>
    </row>
    <row r="14" spans="1:9" ht="15" thickBot="1" x14ac:dyDescent="0.35">
      <c r="A14" s="134" t="s">
        <v>178</v>
      </c>
      <c r="B14" s="134">
        <v>118</v>
      </c>
      <c r="C14" s="134">
        <v>0.582521483112317</v>
      </c>
      <c r="D14" s="134"/>
      <c r="E14" s="134"/>
      <c r="F14" s="134"/>
    </row>
    <row r="15" spans="1:9" ht="15" thickBot="1" x14ac:dyDescent="0.35"/>
    <row r="16" spans="1:9" x14ac:dyDescent="0.3">
      <c r="A16" s="135"/>
      <c r="B16" s="135" t="s">
        <v>185</v>
      </c>
      <c r="C16" s="135" t="s">
        <v>173</v>
      </c>
      <c r="D16" s="135" t="s">
        <v>186</v>
      </c>
      <c r="E16" s="135" t="s">
        <v>187</v>
      </c>
      <c r="F16" s="135" t="s">
        <v>188</v>
      </c>
      <c r="G16" s="135" t="s">
        <v>189</v>
      </c>
      <c r="H16" s="135" t="s">
        <v>190</v>
      </c>
      <c r="I16" s="135" t="s">
        <v>191</v>
      </c>
    </row>
    <row r="17" spans="1:9" x14ac:dyDescent="0.3">
      <c r="A17" s="133" t="s">
        <v>179</v>
      </c>
      <c r="B17" s="133">
        <v>0.16247533052372631</v>
      </c>
      <c r="C17" s="133">
        <v>0.12634845841571993</v>
      </c>
      <c r="D17" s="133">
        <v>1.2859304542453489</v>
      </c>
      <c r="E17" s="133">
        <v>0.20100647878398775</v>
      </c>
      <c r="F17" s="133">
        <v>-8.7751170543036106E-2</v>
      </c>
      <c r="G17" s="133">
        <v>0.41270183159048873</v>
      </c>
      <c r="H17" s="133">
        <v>-8.7751170543036106E-2</v>
      </c>
      <c r="I17" s="133">
        <v>0.41270183159048873</v>
      </c>
    </row>
    <row r="18" spans="1:9" ht="15" thickBot="1" x14ac:dyDescent="0.35">
      <c r="A18" s="134" t="s">
        <v>192</v>
      </c>
      <c r="B18" s="137">
        <v>0.84079487779063355</v>
      </c>
      <c r="C18" s="134">
        <v>0.12499195581497857</v>
      </c>
      <c r="D18" s="134">
        <v>6.7267919147951742</v>
      </c>
      <c r="E18" s="134">
        <v>6.7349399259802697E-10</v>
      </c>
      <c r="F18" s="134">
        <v>0.59325485904211717</v>
      </c>
      <c r="G18" s="134">
        <v>1.0883348965391499</v>
      </c>
      <c r="H18" s="134">
        <v>0.59325485904211717</v>
      </c>
      <c r="I18" s="134">
        <v>1.0883348965391499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E23" sqref="E23"/>
    </sheetView>
  </sheetViews>
  <sheetFormatPr defaultColWidth="12.6640625" defaultRowHeight="15" customHeight="1" x14ac:dyDescent="0.3"/>
  <cols>
    <col min="1" max="1" width="8.88671875" customWidth="1"/>
    <col min="2" max="2" width="28.6640625" customWidth="1"/>
    <col min="3" max="3" width="37.44140625" customWidth="1"/>
    <col min="4" max="4" width="4.44140625" customWidth="1"/>
    <col min="5" max="5" width="39.88671875" customWidth="1"/>
    <col min="6" max="6" width="27.109375" customWidth="1"/>
    <col min="7" max="8" width="8.88671875" customWidth="1"/>
    <col min="9" max="9" width="20.6640625" customWidth="1"/>
    <col min="10" max="10" width="12.88671875" customWidth="1"/>
    <col min="11" max="11" width="9.109375" customWidth="1"/>
    <col min="12" max="26" width="8.6640625" customWidth="1"/>
  </cols>
  <sheetData>
    <row r="1" spans="1:26" ht="15.6" x14ac:dyDescent="0.3">
      <c r="A1" s="29"/>
      <c r="B1" s="96"/>
      <c r="C1" s="92"/>
      <c r="D1" s="92"/>
      <c r="E1" s="9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29"/>
      <c r="B2" s="97"/>
      <c r="C2" s="92"/>
      <c r="D2" s="92"/>
      <c r="E2" s="9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3.75" customHeight="1" x14ac:dyDescent="0.3">
      <c r="A3" s="29"/>
      <c r="B3" s="95" t="s">
        <v>104</v>
      </c>
      <c r="C3" s="93"/>
      <c r="D3" s="93"/>
      <c r="E3" s="9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29"/>
      <c r="B4" s="29"/>
      <c r="C4" s="29"/>
      <c r="D4" s="29"/>
      <c r="E4" s="2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29"/>
      <c r="B5" s="29" t="s">
        <v>105</v>
      </c>
      <c r="C5" s="30">
        <f>(562/C7)</f>
        <v>3.609876416330516E-2</v>
      </c>
      <c r="D5" s="31"/>
      <c r="E5" s="32" t="s">
        <v>106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29"/>
      <c r="B6" s="29" t="s">
        <v>107</v>
      </c>
      <c r="C6" s="30">
        <f>'Ratio Analysis'!C20</f>
        <v>0.23799999999999999</v>
      </c>
      <c r="D6" s="30"/>
      <c r="E6" s="3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29"/>
      <c r="B7" s="29" t="s">
        <v>109</v>
      </c>
      <c r="C7" s="33">
        <f>'Ratio Analysis'!D41+'Ratio Analysis'!D39</f>
        <v>15568.4</v>
      </c>
      <c r="D7" s="33"/>
      <c r="E7" s="34" t="s">
        <v>110</v>
      </c>
      <c r="F7" s="3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29"/>
      <c r="B8" s="29" t="s">
        <v>111</v>
      </c>
      <c r="C8" s="30">
        <v>9.9299999999999999E-2</v>
      </c>
      <c r="D8" s="30"/>
      <c r="E8" s="34" t="s">
        <v>112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29"/>
      <c r="B9" s="29" t="s">
        <v>113</v>
      </c>
      <c r="C9" s="36">
        <f>'Ratio Analysis'!C19</f>
        <v>96.37</v>
      </c>
      <c r="D9" s="36"/>
      <c r="E9" s="3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29"/>
      <c r="B10" s="29" t="s">
        <v>114</v>
      </c>
      <c r="C10" s="37">
        <f>'Ratio Analysis'!G29</f>
        <v>1142.5999999999999</v>
      </c>
      <c r="D10" s="37"/>
      <c r="E10" s="3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29"/>
      <c r="B11" s="29" t="s">
        <v>115</v>
      </c>
      <c r="C11" s="33">
        <f>C9*C10</f>
        <v>110112.36199999999</v>
      </c>
      <c r="D11" s="33"/>
      <c r="E11" s="32" t="s">
        <v>116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29"/>
      <c r="B12" s="29"/>
      <c r="C12" s="29"/>
      <c r="D12" s="29"/>
      <c r="E12" s="2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29"/>
      <c r="B13" s="95" t="s">
        <v>117</v>
      </c>
      <c r="C13" s="93"/>
      <c r="D13" s="93"/>
      <c r="E13" s="9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 x14ac:dyDescent="0.3">
      <c r="A14" s="2"/>
      <c r="B14" s="121" t="s">
        <v>166</v>
      </c>
      <c r="C14" s="121"/>
      <c r="D14" s="29"/>
      <c r="E14" s="29"/>
      <c r="F14" s="2"/>
      <c r="G14" s="2"/>
      <c r="H14" s="2"/>
      <c r="I14" s="2"/>
      <c r="J14" s="2"/>
      <c r="K14" s="3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2"/>
      <c r="B15" s="122" t="s">
        <v>118</v>
      </c>
      <c r="C15" s="125">
        <f>C7/(C7+C11)</f>
        <v>0.12387257804818212</v>
      </c>
      <c r="D15" s="39"/>
      <c r="E15" s="2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2"/>
      <c r="B16" s="122" t="s">
        <v>119</v>
      </c>
      <c r="C16" s="125">
        <f>C11/(C7+C11)</f>
        <v>0.87612742195181792</v>
      </c>
      <c r="D16" s="39"/>
      <c r="E16" s="4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2"/>
      <c r="B17" s="122" t="s">
        <v>120</v>
      </c>
      <c r="C17" s="125">
        <f>C15+C16</f>
        <v>1</v>
      </c>
      <c r="D17" s="41"/>
      <c r="E17" s="2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 x14ac:dyDescent="0.3">
      <c r="A18" s="2"/>
      <c r="B18" s="121"/>
      <c r="C18" s="121"/>
      <c r="D18" s="29"/>
      <c r="E18" s="2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2"/>
      <c r="B19" s="122" t="s">
        <v>121</v>
      </c>
      <c r="C19" s="123">
        <f>C8</f>
        <v>9.9299999999999999E-2</v>
      </c>
      <c r="D19" s="30"/>
      <c r="E19" s="2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2"/>
      <c r="B20" s="121"/>
      <c r="C20" s="121"/>
      <c r="D20" s="29"/>
      <c r="E20" s="2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3">
      <c r="A21" s="2"/>
      <c r="B21" s="122" t="s">
        <v>122</v>
      </c>
      <c r="C21" s="124">
        <f>C5</f>
        <v>3.609876416330516E-2</v>
      </c>
      <c r="D21" s="30"/>
      <c r="E21" s="2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2"/>
      <c r="B22" s="121" t="s">
        <v>165</v>
      </c>
      <c r="C22" s="41"/>
      <c r="D22" s="39"/>
      <c r="E22" s="2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 x14ac:dyDescent="0.3">
      <c r="A23" s="2"/>
      <c r="B23" s="98" t="s">
        <v>123</v>
      </c>
      <c r="C23" s="42">
        <f>(C19*C16)+(C15*C21)</f>
        <v>9.1471099981077456E-2</v>
      </c>
      <c r="D23" s="43"/>
      <c r="E23" s="2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 x14ac:dyDescent="0.3">
      <c r="A24" s="2"/>
      <c r="B24" s="29"/>
      <c r="C24" s="44"/>
      <c r="D24" s="44"/>
      <c r="E24" s="2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 x14ac:dyDescent="0.3">
      <c r="A25" s="2"/>
      <c r="B25" s="2"/>
      <c r="C25" s="29"/>
      <c r="D25" s="2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 x14ac:dyDescent="0.3"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 x14ac:dyDescent="0.3"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D6EF-C70A-42D8-8580-F026F2006841}">
  <dimension ref="A1:G121"/>
  <sheetViews>
    <sheetView workbookViewId="0">
      <selection activeCell="I5" sqref="I5"/>
    </sheetView>
  </sheetViews>
  <sheetFormatPr defaultRowHeight="14.4" x14ac:dyDescent="0.3"/>
  <cols>
    <col min="1" max="1" width="17.6640625" customWidth="1"/>
    <col min="6" max="6" width="15.88671875" customWidth="1"/>
    <col min="7" max="7" width="14" customWidth="1"/>
  </cols>
  <sheetData>
    <row r="1" spans="1:7" x14ac:dyDescent="0.3">
      <c r="A1" s="105" t="s">
        <v>147</v>
      </c>
      <c r="B1" s="105" t="s">
        <v>148</v>
      </c>
      <c r="C1" s="105" t="s">
        <v>149</v>
      </c>
      <c r="D1" s="105" t="s">
        <v>150</v>
      </c>
      <c r="E1" s="105" t="s">
        <v>151</v>
      </c>
      <c r="F1" s="105" t="s">
        <v>152</v>
      </c>
      <c r="G1" s="105" t="s">
        <v>153</v>
      </c>
    </row>
    <row r="2" spans="1:7" x14ac:dyDescent="0.3">
      <c r="A2" s="102">
        <v>42064</v>
      </c>
      <c r="B2" s="101">
        <v>46.67</v>
      </c>
      <c r="C2" s="101">
        <v>49.6</v>
      </c>
      <c r="D2" s="101">
        <v>45.61</v>
      </c>
      <c r="E2" s="101">
        <v>47.35</v>
      </c>
      <c r="F2" s="101">
        <v>38.92</v>
      </c>
      <c r="G2" s="101">
        <v>195931000</v>
      </c>
    </row>
    <row r="3" spans="1:7" x14ac:dyDescent="0.3">
      <c r="A3" s="102">
        <v>42095</v>
      </c>
      <c r="B3" s="101">
        <v>47.14</v>
      </c>
      <c r="C3" s="101">
        <v>52.09</v>
      </c>
      <c r="D3" s="101">
        <v>46.28</v>
      </c>
      <c r="E3" s="101">
        <v>49.58</v>
      </c>
      <c r="F3" s="101">
        <v>40.75</v>
      </c>
      <c r="G3" s="101">
        <v>179360700</v>
      </c>
    </row>
    <row r="4" spans="1:7" x14ac:dyDescent="0.3">
      <c r="A4" s="102">
        <v>42125</v>
      </c>
      <c r="B4" s="101">
        <v>49.95</v>
      </c>
      <c r="C4" s="101">
        <v>52.23</v>
      </c>
      <c r="D4" s="101">
        <v>48.57</v>
      </c>
      <c r="E4" s="101">
        <v>51.96</v>
      </c>
      <c r="F4" s="101">
        <v>42.71</v>
      </c>
      <c r="G4" s="101">
        <v>134474400</v>
      </c>
    </row>
    <row r="5" spans="1:7" x14ac:dyDescent="0.3">
      <c r="A5" s="102">
        <v>42156</v>
      </c>
      <c r="B5" s="101">
        <v>51.96</v>
      </c>
      <c r="C5" s="101">
        <v>54.75</v>
      </c>
      <c r="D5" s="101">
        <v>51.1</v>
      </c>
      <c r="E5" s="101">
        <v>53.62</v>
      </c>
      <c r="F5" s="101">
        <v>44.21</v>
      </c>
      <c r="G5" s="101">
        <v>150831700</v>
      </c>
    </row>
    <row r="6" spans="1:7" x14ac:dyDescent="0.3">
      <c r="A6" s="102">
        <v>42186</v>
      </c>
      <c r="B6" s="101">
        <v>53.86</v>
      </c>
      <c r="C6" s="101">
        <v>59.31</v>
      </c>
      <c r="D6" s="101">
        <v>53.31</v>
      </c>
      <c r="E6" s="101">
        <v>57.93</v>
      </c>
      <c r="F6" s="101">
        <v>47.76</v>
      </c>
      <c r="G6" s="101">
        <v>177930600</v>
      </c>
    </row>
    <row r="7" spans="1:7" x14ac:dyDescent="0.3">
      <c r="A7" s="102">
        <v>42217</v>
      </c>
      <c r="B7" s="101">
        <v>58.62</v>
      </c>
      <c r="C7" s="101">
        <v>59.32</v>
      </c>
      <c r="D7" s="101">
        <v>42.05</v>
      </c>
      <c r="E7" s="101">
        <v>54.71</v>
      </c>
      <c r="F7" s="101">
        <v>45.11</v>
      </c>
      <c r="G7" s="101">
        <v>223614000</v>
      </c>
    </row>
    <row r="8" spans="1:7" x14ac:dyDescent="0.3">
      <c r="A8" s="102">
        <v>42248</v>
      </c>
      <c r="B8" s="101">
        <v>53</v>
      </c>
      <c r="C8" s="101">
        <v>58.96</v>
      </c>
      <c r="D8" s="101">
        <v>52.74</v>
      </c>
      <c r="E8" s="101">
        <v>56.84</v>
      </c>
      <c r="F8" s="101">
        <v>46.99</v>
      </c>
      <c r="G8" s="101">
        <v>187645900</v>
      </c>
    </row>
    <row r="9" spans="1:7" x14ac:dyDescent="0.3">
      <c r="A9" s="102">
        <v>42278</v>
      </c>
      <c r="B9" s="101">
        <v>56.99</v>
      </c>
      <c r="C9" s="101">
        <v>64</v>
      </c>
      <c r="D9" s="101">
        <v>55.89</v>
      </c>
      <c r="E9" s="101">
        <v>62.57</v>
      </c>
      <c r="F9" s="101">
        <v>51.73</v>
      </c>
      <c r="G9" s="101">
        <v>195542500</v>
      </c>
    </row>
    <row r="10" spans="1:7" x14ac:dyDescent="0.3">
      <c r="A10" s="102">
        <v>42309</v>
      </c>
      <c r="B10" s="101">
        <v>63.01</v>
      </c>
      <c r="C10" s="101">
        <v>63.19</v>
      </c>
      <c r="D10" s="101">
        <v>59.5</v>
      </c>
      <c r="E10" s="101">
        <v>61.39</v>
      </c>
      <c r="F10" s="101">
        <v>50.76</v>
      </c>
      <c r="G10" s="101">
        <v>141548700</v>
      </c>
    </row>
    <row r="11" spans="1:7" x14ac:dyDescent="0.3">
      <c r="A11" s="102">
        <v>42339</v>
      </c>
      <c r="B11" s="101">
        <v>61.08</v>
      </c>
      <c r="C11" s="101">
        <v>62.54</v>
      </c>
      <c r="D11" s="101">
        <v>58.27</v>
      </c>
      <c r="E11" s="101">
        <v>60.03</v>
      </c>
      <c r="F11" s="101">
        <v>49.79</v>
      </c>
      <c r="G11" s="101">
        <v>174904100</v>
      </c>
    </row>
    <row r="12" spans="1:7" x14ac:dyDescent="0.3">
      <c r="A12" s="102">
        <v>42370</v>
      </c>
      <c r="B12" s="101">
        <v>58.77</v>
      </c>
      <c r="C12" s="101">
        <v>60.88</v>
      </c>
      <c r="D12" s="101">
        <v>54.94</v>
      </c>
      <c r="E12" s="101">
        <v>60.77</v>
      </c>
      <c r="F12" s="101">
        <v>50.41</v>
      </c>
      <c r="G12" s="101">
        <v>262885000</v>
      </c>
    </row>
    <row r="13" spans="1:7" x14ac:dyDescent="0.3">
      <c r="A13" s="102">
        <v>42401</v>
      </c>
      <c r="B13" s="101">
        <v>60.66</v>
      </c>
      <c r="C13" s="101">
        <v>61.79</v>
      </c>
      <c r="D13" s="101">
        <v>52.63</v>
      </c>
      <c r="E13" s="101">
        <v>58.21</v>
      </c>
      <c r="F13" s="101">
        <v>48.28</v>
      </c>
      <c r="G13" s="101">
        <v>223871600</v>
      </c>
    </row>
    <row r="14" spans="1:7" x14ac:dyDescent="0.3">
      <c r="A14" s="102">
        <v>42430</v>
      </c>
      <c r="B14" s="101">
        <v>58.77</v>
      </c>
      <c r="C14" s="101">
        <v>60.45</v>
      </c>
      <c r="D14" s="101">
        <v>56.57</v>
      </c>
      <c r="E14" s="101">
        <v>59.7</v>
      </c>
      <c r="F14" s="101">
        <v>49.68</v>
      </c>
      <c r="G14" s="101">
        <v>180465500</v>
      </c>
    </row>
    <row r="15" spans="1:7" x14ac:dyDescent="0.3">
      <c r="A15" s="102">
        <v>42461</v>
      </c>
      <c r="B15" s="101">
        <v>59.61</v>
      </c>
      <c r="C15" s="101">
        <v>61.64</v>
      </c>
      <c r="D15" s="101">
        <v>55.29</v>
      </c>
      <c r="E15" s="101">
        <v>56.23</v>
      </c>
      <c r="F15" s="101">
        <v>46.79</v>
      </c>
      <c r="G15" s="101">
        <v>197552300</v>
      </c>
    </row>
    <row r="16" spans="1:7" x14ac:dyDescent="0.3">
      <c r="A16" s="102">
        <v>42491</v>
      </c>
      <c r="B16" s="101">
        <v>56.29</v>
      </c>
      <c r="C16" s="101">
        <v>57.6</v>
      </c>
      <c r="D16" s="101">
        <v>54.19</v>
      </c>
      <c r="E16" s="101">
        <v>54.89</v>
      </c>
      <c r="F16" s="101">
        <v>45.68</v>
      </c>
      <c r="G16" s="101">
        <v>164813800</v>
      </c>
    </row>
    <row r="17" spans="1:7" x14ac:dyDescent="0.3">
      <c r="A17" s="102">
        <v>42522</v>
      </c>
      <c r="B17" s="101">
        <v>54.76</v>
      </c>
      <c r="C17" s="101">
        <v>57.19</v>
      </c>
      <c r="D17" s="101">
        <v>53.41</v>
      </c>
      <c r="E17" s="101">
        <v>57.12</v>
      </c>
      <c r="F17" s="101">
        <v>47.7</v>
      </c>
      <c r="G17" s="101">
        <v>186865200</v>
      </c>
    </row>
    <row r="18" spans="1:7" x14ac:dyDescent="0.3">
      <c r="A18" s="102">
        <v>42552</v>
      </c>
      <c r="B18" s="101">
        <v>57.04</v>
      </c>
      <c r="C18" s="101">
        <v>58.84</v>
      </c>
      <c r="D18" s="101">
        <v>56.06</v>
      </c>
      <c r="E18" s="101">
        <v>58.05</v>
      </c>
      <c r="F18" s="101">
        <v>48.48</v>
      </c>
      <c r="G18" s="101">
        <v>203692900</v>
      </c>
    </row>
    <row r="19" spans="1:7" x14ac:dyDescent="0.3">
      <c r="A19" s="102">
        <v>42583</v>
      </c>
      <c r="B19" s="101">
        <v>58</v>
      </c>
      <c r="C19" s="101">
        <v>58.05</v>
      </c>
      <c r="D19" s="101">
        <v>54.85</v>
      </c>
      <c r="E19" s="101">
        <v>56.23</v>
      </c>
      <c r="F19" s="101">
        <v>46.96</v>
      </c>
      <c r="G19" s="101">
        <v>179342000</v>
      </c>
    </row>
    <row r="20" spans="1:7" x14ac:dyDescent="0.3">
      <c r="A20" s="102">
        <v>42614</v>
      </c>
      <c r="B20" s="101">
        <v>56.3</v>
      </c>
      <c r="C20" s="101">
        <v>56.65</v>
      </c>
      <c r="D20" s="101">
        <v>52.9</v>
      </c>
      <c r="E20" s="101">
        <v>54.14</v>
      </c>
      <c r="F20" s="101">
        <v>45.37</v>
      </c>
      <c r="G20" s="101">
        <v>192723100</v>
      </c>
    </row>
    <row r="21" spans="1:7" x14ac:dyDescent="0.3">
      <c r="A21" s="102">
        <v>42644</v>
      </c>
      <c r="B21" s="101">
        <v>54.1</v>
      </c>
      <c r="C21" s="101">
        <v>54.46</v>
      </c>
      <c r="D21" s="101">
        <v>52.59</v>
      </c>
      <c r="E21" s="101">
        <v>53.07</v>
      </c>
      <c r="F21" s="101">
        <v>44.47</v>
      </c>
      <c r="G21" s="101">
        <v>148546100</v>
      </c>
    </row>
    <row r="22" spans="1:7" x14ac:dyDescent="0.3">
      <c r="A22" s="102">
        <v>42675</v>
      </c>
      <c r="B22" s="101">
        <v>53.14</v>
      </c>
      <c r="C22" s="101">
        <v>58.25</v>
      </c>
      <c r="D22" s="101">
        <v>50.84</v>
      </c>
      <c r="E22" s="101">
        <v>57.97</v>
      </c>
      <c r="F22" s="101">
        <v>48.58</v>
      </c>
      <c r="G22" s="101">
        <v>237025700</v>
      </c>
    </row>
    <row r="23" spans="1:7" x14ac:dyDescent="0.3">
      <c r="A23" s="102">
        <v>42705</v>
      </c>
      <c r="B23" s="101">
        <v>57.34</v>
      </c>
      <c r="C23" s="101">
        <v>59.54</v>
      </c>
      <c r="D23" s="101">
        <v>55.4</v>
      </c>
      <c r="E23" s="101">
        <v>55.52</v>
      </c>
      <c r="F23" s="101">
        <v>46.74</v>
      </c>
      <c r="G23" s="101">
        <v>165872700</v>
      </c>
    </row>
    <row r="24" spans="1:7" x14ac:dyDescent="0.3">
      <c r="A24" s="102">
        <v>42736</v>
      </c>
      <c r="B24" s="101">
        <v>55.91</v>
      </c>
      <c r="C24" s="101">
        <v>59</v>
      </c>
      <c r="D24" s="101">
        <v>54.88</v>
      </c>
      <c r="E24" s="101">
        <v>55.22</v>
      </c>
      <c r="F24" s="101">
        <v>46.49</v>
      </c>
      <c r="G24" s="101">
        <v>188760500</v>
      </c>
    </row>
    <row r="25" spans="1:7" x14ac:dyDescent="0.3">
      <c r="A25" s="102">
        <v>42767</v>
      </c>
      <c r="B25" s="101">
        <v>55.49</v>
      </c>
      <c r="C25" s="101">
        <v>57.85</v>
      </c>
      <c r="D25" s="101">
        <v>53.81</v>
      </c>
      <c r="E25" s="101">
        <v>56.87</v>
      </c>
      <c r="F25" s="101">
        <v>47.88</v>
      </c>
      <c r="G25" s="101">
        <v>196153900</v>
      </c>
    </row>
    <row r="26" spans="1:7" x14ac:dyDescent="0.3">
      <c r="A26" s="102">
        <v>42795</v>
      </c>
      <c r="B26" s="101">
        <v>57.27</v>
      </c>
      <c r="C26" s="101">
        <v>58.66</v>
      </c>
      <c r="D26" s="101">
        <v>54.09</v>
      </c>
      <c r="E26" s="101">
        <v>58.39</v>
      </c>
      <c r="F26" s="101">
        <v>49.38</v>
      </c>
      <c r="G26" s="101">
        <v>225544200</v>
      </c>
    </row>
    <row r="27" spans="1:7" x14ac:dyDescent="0.3">
      <c r="A27" s="102">
        <v>42826</v>
      </c>
      <c r="B27" s="101">
        <v>58.28</v>
      </c>
      <c r="C27" s="101">
        <v>61.94</v>
      </c>
      <c r="D27" s="101">
        <v>57.38</v>
      </c>
      <c r="E27" s="101">
        <v>60.06</v>
      </c>
      <c r="F27" s="101">
        <v>50.79</v>
      </c>
      <c r="G27" s="101">
        <v>181381100</v>
      </c>
    </row>
    <row r="28" spans="1:7" x14ac:dyDescent="0.3">
      <c r="A28" s="102">
        <v>42856</v>
      </c>
      <c r="B28" s="101">
        <v>60</v>
      </c>
      <c r="C28" s="101">
        <v>63.61</v>
      </c>
      <c r="D28" s="101">
        <v>58.87</v>
      </c>
      <c r="E28" s="101">
        <v>63.61</v>
      </c>
      <c r="F28" s="101">
        <v>53.79</v>
      </c>
      <c r="G28" s="101">
        <v>160468800</v>
      </c>
    </row>
    <row r="29" spans="1:7" x14ac:dyDescent="0.3">
      <c r="A29" s="102">
        <v>42887</v>
      </c>
      <c r="B29" s="101">
        <v>63.51</v>
      </c>
      <c r="C29" s="101">
        <v>64.87</v>
      </c>
      <c r="D29" s="101">
        <v>57.96</v>
      </c>
      <c r="E29" s="101">
        <v>58.31</v>
      </c>
      <c r="F29" s="101">
        <v>49.51</v>
      </c>
      <c r="G29" s="101">
        <v>170396300</v>
      </c>
    </row>
    <row r="30" spans="1:7" x14ac:dyDescent="0.3">
      <c r="A30" s="102">
        <v>42917</v>
      </c>
      <c r="B30" s="101">
        <v>58.9</v>
      </c>
      <c r="C30" s="101">
        <v>59.66</v>
      </c>
      <c r="D30" s="101">
        <v>53.41</v>
      </c>
      <c r="E30" s="101">
        <v>53.98</v>
      </c>
      <c r="F30" s="101">
        <v>45.84</v>
      </c>
      <c r="G30" s="101">
        <v>221103700</v>
      </c>
    </row>
    <row r="31" spans="1:7" x14ac:dyDescent="0.3">
      <c r="A31" s="102">
        <v>42948</v>
      </c>
      <c r="B31" s="101">
        <v>54.57</v>
      </c>
      <c r="C31" s="101">
        <v>56.12</v>
      </c>
      <c r="D31" s="101">
        <v>52.58</v>
      </c>
      <c r="E31" s="101">
        <v>54.86</v>
      </c>
      <c r="F31" s="101">
        <v>46.58</v>
      </c>
      <c r="G31" s="101">
        <v>235679800</v>
      </c>
    </row>
    <row r="32" spans="1:7" x14ac:dyDescent="0.3">
      <c r="A32" s="102">
        <v>42979</v>
      </c>
      <c r="B32" s="101">
        <v>54.9</v>
      </c>
      <c r="C32" s="101">
        <v>55.6</v>
      </c>
      <c r="D32" s="101">
        <v>53.05</v>
      </c>
      <c r="E32" s="101">
        <v>53.71</v>
      </c>
      <c r="F32" s="101">
        <v>45.81</v>
      </c>
      <c r="G32" s="101">
        <v>184484300</v>
      </c>
    </row>
    <row r="33" spans="1:7" x14ac:dyDescent="0.3">
      <c r="A33" s="102">
        <v>43009</v>
      </c>
      <c r="B33" s="101">
        <v>53.86</v>
      </c>
      <c r="C33" s="101">
        <v>56.43</v>
      </c>
      <c r="D33" s="101">
        <v>53.66</v>
      </c>
      <c r="E33" s="101">
        <v>54.84</v>
      </c>
      <c r="F33" s="101">
        <v>46.78</v>
      </c>
      <c r="G33" s="101">
        <v>178855400</v>
      </c>
    </row>
    <row r="34" spans="1:7" x14ac:dyDescent="0.3">
      <c r="A34" s="102">
        <v>43040</v>
      </c>
      <c r="B34" s="101">
        <v>55.1</v>
      </c>
      <c r="C34" s="101">
        <v>58.14</v>
      </c>
      <c r="D34" s="101">
        <v>54.05</v>
      </c>
      <c r="E34" s="101">
        <v>57.82</v>
      </c>
      <c r="F34" s="101">
        <v>49.32</v>
      </c>
      <c r="G34" s="101">
        <v>215270200</v>
      </c>
    </row>
    <row r="35" spans="1:7" x14ac:dyDescent="0.3">
      <c r="A35" s="102">
        <v>43070</v>
      </c>
      <c r="B35" s="101">
        <v>57.5</v>
      </c>
      <c r="C35" s="101">
        <v>60.05</v>
      </c>
      <c r="D35" s="101">
        <v>56.46</v>
      </c>
      <c r="E35" s="101">
        <v>57.43</v>
      </c>
      <c r="F35" s="101">
        <v>49.25</v>
      </c>
      <c r="G35" s="101">
        <v>175171000</v>
      </c>
    </row>
    <row r="36" spans="1:7" x14ac:dyDescent="0.3">
      <c r="A36" s="102">
        <v>43101</v>
      </c>
      <c r="B36" s="101">
        <v>57.95</v>
      </c>
      <c r="C36" s="101">
        <v>61.94</v>
      </c>
      <c r="D36" s="101">
        <v>56.55</v>
      </c>
      <c r="E36" s="101">
        <v>56.81</v>
      </c>
      <c r="F36" s="101">
        <v>48.71</v>
      </c>
      <c r="G36" s="101">
        <v>242647700</v>
      </c>
    </row>
    <row r="37" spans="1:7" x14ac:dyDescent="0.3">
      <c r="A37" s="102">
        <v>43132</v>
      </c>
      <c r="B37" s="101">
        <v>56.28</v>
      </c>
      <c r="C37" s="101">
        <v>57.92</v>
      </c>
      <c r="D37" s="101">
        <v>53.56</v>
      </c>
      <c r="E37" s="101">
        <v>57.1</v>
      </c>
      <c r="F37" s="101">
        <v>48.96</v>
      </c>
      <c r="G37" s="101">
        <v>238536700</v>
      </c>
    </row>
    <row r="38" spans="1:7" x14ac:dyDescent="0.3">
      <c r="A38" s="102">
        <v>43160</v>
      </c>
      <c r="B38" s="101">
        <v>57</v>
      </c>
      <c r="C38" s="101">
        <v>60.7</v>
      </c>
      <c r="D38" s="101">
        <v>55.68</v>
      </c>
      <c r="E38" s="101">
        <v>57.89</v>
      </c>
      <c r="F38" s="101">
        <v>49.91</v>
      </c>
      <c r="G38" s="101">
        <v>185897700</v>
      </c>
    </row>
    <row r="39" spans="1:7" x14ac:dyDescent="0.3">
      <c r="A39" s="102">
        <v>43191</v>
      </c>
      <c r="B39" s="101">
        <v>57.52</v>
      </c>
      <c r="C39" s="101">
        <v>60.18</v>
      </c>
      <c r="D39" s="101">
        <v>55.38</v>
      </c>
      <c r="E39" s="101">
        <v>57.57</v>
      </c>
      <c r="F39" s="101">
        <v>49.63</v>
      </c>
      <c r="G39" s="101">
        <v>178446500</v>
      </c>
    </row>
    <row r="40" spans="1:7" x14ac:dyDescent="0.3">
      <c r="A40" s="102">
        <v>43221</v>
      </c>
      <c r="B40" s="101">
        <v>57.67</v>
      </c>
      <c r="C40" s="101">
        <v>59.04</v>
      </c>
      <c r="D40" s="101">
        <v>55.54</v>
      </c>
      <c r="E40" s="101">
        <v>56.67</v>
      </c>
      <c r="F40" s="101">
        <v>48.86</v>
      </c>
      <c r="G40" s="101">
        <v>150516400</v>
      </c>
    </row>
    <row r="41" spans="1:7" x14ac:dyDescent="0.3">
      <c r="A41" s="102">
        <v>43252</v>
      </c>
      <c r="B41" s="101">
        <v>56.84</v>
      </c>
      <c r="C41" s="101">
        <v>57.94</v>
      </c>
      <c r="D41" s="101">
        <v>47.37</v>
      </c>
      <c r="E41" s="101">
        <v>48.85</v>
      </c>
      <c r="F41" s="101">
        <v>42.34</v>
      </c>
      <c r="G41" s="101">
        <v>338561600</v>
      </c>
    </row>
    <row r="42" spans="1:7" x14ac:dyDescent="0.3">
      <c r="A42" s="102">
        <v>43282</v>
      </c>
      <c r="B42" s="101">
        <v>48.64</v>
      </c>
      <c r="C42" s="101">
        <v>52.85</v>
      </c>
      <c r="D42" s="101">
        <v>48.4</v>
      </c>
      <c r="E42" s="101">
        <v>52.39</v>
      </c>
      <c r="F42" s="101">
        <v>45.4</v>
      </c>
      <c r="G42" s="101">
        <v>244824000</v>
      </c>
    </row>
    <row r="43" spans="1:7" x14ac:dyDescent="0.3">
      <c r="A43" s="102">
        <v>43313</v>
      </c>
      <c r="B43" s="101">
        <v>52.24</v>
      </c>
      <c r="C43" s="101">
        <v>54.44</v>
      </c>
      <c r="D43" s="101">
        <v>51.2</v>
      </c>
      <c r="E43" s="101">
        <v>53.45</v>
      </c>
      <c r="F43" s="101">
        <v>46.32</v>
      </c>
      <c r="G43" s="101">
        <v>198190200</v>
      </c>
    </row>
    <row r="44" spans="1:7" x14ac:dyDescent="0.3">
      <c r="A44" s="102">
        <v>43344</v>
      </c>
      <c r="B44" s="101">
        <v>53.44</v>
      </c>
      <c r="C44" s="101">
        <v>57.84</v>
      </c>
      <c r="D44" s="101">
        <v>53.21</v>
      </c>
      <c r="E44" s="101">
        <v>56.84</v>
      </c>
      <c r="F44" s="101">
        <v>49.6</v>
      </c>
      <c r="G44" s="101">
        <v>177505500</v>
      </c>
    </row>
    <row r="45" spans="1:7" x14ac:dyDescent="0.3">
      <c r="A45" s="102">
        <v>43374</v>
      </c>
      <c r="B45" s="101">
        <v>56.91</v>
      </c>
      <c r="C45" s="101">
        <v>59.7</v>
      </c>
      <c r="D45" s="101">
        <v>54.71</v>
      </c>
      <c r="E45" s="101">
        <v>58.27</v>
      </c>
      <c r="F45" s="101">
        <v>50.85</v>
      </c>
      <c r="G45" s="101">
        <v>285962000</v>
      </c>
    </row>
    <row r="46" spans="1:7" x14ac:dyDescent="0.3">
      <c r="A46" s="102">
        <v>43405</v>
      </c>
      <c r="B46" s="101">
        <v>58.3</v>
      </c>
      <c r="C46" s="101">
        <v>68.98</v>
      </c>
      <c r="D46" s="101">
        <v>58.07</v>
      </c>
      <c r="E46" s="101">
        <v>66.72</v>
      </c>
      <c r="F46" s="101">
        <v>58.23</v>
      </c>
      <c r="G46" s="101">
        <v>326988900</v>
      </c>
    </row>
    <row r="47" spans="1:7" x14ac:dyDescent="0.3">
      <c r="A47" s="102">
        <v>43435</v>
      </c>
      <c r="B47" s="101">
        <v>67.37</v>
      </c>
      <c r="C47" s="101">
        <v>68.150000000000006</v>
      </c>
      <c r="D47" s="101">
        <v>60.42</v>
      </c>
      <c r="E47" s="101">
        <v>64.400000000000006</v>
      </c>
      <c r="F47" s="101">
        <v>56.5</v>
      </c>
      <c r="G47" s="101">
        <v>250212000</v>
      </c>
    </row>
    <row r="48" spans="1:7" x14ac:dyDescent="0.3">
      <c r="A48" s="102">
        <v>43466</v>
      </c>
      <c r="B48" s="101">
        <v>63.68</v>
      </c>
      <c r="C48" s="101">
        <v>69.489999999999995</v>
      </c>
      <c r="D48" s="101">
        <v>61.4</v>
      </c>
      <c r="E48" s="101">
        <v>68.14</v>
      </c>
      <c r="F48" s="101">
        <v>59.78</v>
      </c>
      <c r="G48" s="101">
        <v>276732200</v>
      </c>
    </row>
    <row r="49" spans="1:7" x14ac:dyDescent="0.3">
      <c r="A49" s="102">
        <v>43497</v>
      </c>
      <c r="B49" s="101">
        <v>68.59</v>
      </c>
      <c r="C49" s="101">
        <v>72.069999999999993</v>
      </c>
      <c r="D49" s="101">
        <v>67.08</v>
      </c>
      <c r="E49" s="101">
        <v>70.260000000000005</v>
      </c>
      <c r="F49" s="101">
        <v>61.64</v>
      </c>
      <c r="G49" s="101">
        <v>215346400</v>
      </c>
    </row>
    <row r="50" spans="1:7" x14ac:dyDescent="0.3">
      <c r="A50" s="102">
        <v>43525</v>
      </c>
      <c r="B50" s="101">
        <v>70.63</v>
      </c>
      <c r="C50" s="101">
        <v>74.48</v>
      </c>
      <c r="D50" s="101">
        <v>69.03</v>
      </c>
      <c r="E50" s="101">
        <v>74.34</v>
      </c>
      <c r="F50" s="101">
        <v>65.56</v>
      </c>
      <c r="G50" s="101">
        <v>192665200</v>
      </c>
    </row>
    <row r="51" spans="1:7" x14ac:dyDescent="0.3">
      <c r="A51" s="102">
        <v>43556</v>
      </c>
      <c r="B51" s="101">
        <v>74.760000000000005</v>
      </c>
      <c r="C51" s="101">
        <v>77.790000000000006</v>
      </c>
      <c r="D51" s="101">
        <v>73.73</v>
      </c>
      <c r="E51" s="101">
        <v>77.680000000000007</v>
      </c>
      <c r="F51" s="101">
        <v>68.510000000000005</v>
      </c>
      <c r="G51" s="101">
        <v>146496900</v>
      </c>
    </row>
    <row r="52" spans="1:7" x14ac:dyDescent="0.3">
      <c r="A52" s="102">
        <v>43586</v>
      </c>
      <c r="B52" s="101">
        <v>77.67</v>
      </c>
      <c r="C52" s="101">
        <v>79.650000000000006</v>
      </c>
      <c r="D52" s="101">
        <v>74.33</v>
      </c>
      <c r="E52" s="101">
        <v>76.06</v>
      </c>
      <c r="F52" s="101">
        <v>67.08</v>
      </c>
      <c r="G52" s="101">
        <v>168825900</v>
      </c>
    </row>
    <row r="53" spans="1:7" x14ac:dyDescent="0.3">
      <c r="A53" s="102">
        <v>43617</v>
      </c>
      <c r="B53" s="101">
        <v>76.12</v>
      </c>
      <c r="C53" s="101">
        <v>85.2</v>
      </c>
      <c r="D53" s="101">
        <v>75.650000000000006</v>
      </c>
      <c r="E53" s="101">
        <v>83.83</v>
      </c>
      <c r="F53" s="101">
        <v>74.28</v>
      </c>
      <c r="G53" s="101">
        <v>163305800</v>
      </c>
    </row>
    <row r="54" spans="1:7" x14ac:dyDescent="0.3">
      <c r="A54" s="102">
        <v>43647</v>
      </c>
      <c r="B54" s="101">
        <v>84.62</v>
      </c>
      <c r="C54" s="101">
        <v>99.72</v>
      </c>
      <c r="D54" s="101">
        <v>84.03</v>
      </c>
      <c r="E54" s="101">
        <v>94.69</v>
      </c>
      <c r="F54" s="101">
        <v>83.9</v>
      </c>
      <c r="G54" s="101">
        <v>166015600</v>
      </c>
    </row>
    <row r="55" spans="1:7" x14ac:dyDescent="0.3">
      <c r="A55" s="102">
        <v>43678</v>
      </c>
      <c r="B55" s="101">
        <v>95</v>
      </c>
      <c r="C55" s="101">
        <v>98.14</v>
      </c>
      <c r="D55" s="101">
        <v>93.03</v>
      </c>
      <c r="E55" s="101">
        <v>96.56</v>
      </c>
      <c r="F55" s="101">
        <v>85.56</v>
      </c>
      <c r="G55" s="101">
        <v>142069000</v>
      </c>
    </row>
    <row r="56" spans="1:7" x14ac:dyDescent="0.3">
      <c r="A56" s="102">
        <v>43709</v>
      </c>
      <c r="B56" s="101">
        <v>96.42</v>
      </c>
      <c r="C56" s="101">
        <v>97.21</v>
      </c>
      <c r="D56" s="101">
        <v>87.61</v>
      </c>
      <c r="E56" s="101">
        <v>88.42</v>
      </c>
      <c r="F56" s="101">
        <v>78.64</v>
      </c>
      <c r="G56" s="101">
        <v>134511100</v>
      </c>
    </row>
    <row r="57" spans="1:7" x14ac:dyDescent="0.3">
      <c r="A57" s="102">
        <v>43739</v>
      </c>
      <c r="B57" s="101">
        <v>88.63</v>
      </c>
      <c r="C57" s="101">
        <v>88.89</v>
      </c>
      <c r="D57" s="101">
        <v>82.13</v>
      </c>
      <c r="E57" s="101">
        <v>84.56</v>
      </c>
      <c r="F57" s="101">
        <v>75.209999999999994</v>
      </c>
      <c r="G57" s="101">
        <v>137892400</v>
      </c>
    </row>
    <row r="58" spans="1:7" x14ac:dyDescent="0.3">
      <c r="A58" s="102">
        <v>43770</v>
      </c>
      <c r="B58" s="101">
        <v>84.79</v>
      </c>
      <c r="C58" s="101">
        <v>86.73</v>
      </c>
      <c r="D58" s="101">
        <v>81.03</v>
      </c>
      <c r="E58" s="101">
        <v>85.43</v>
      </c>
      <c r="F58" s="101">
        <v>75.98</v>
      </c>
      <c r="G58" s="101">
        <v>138762700</v>
      </c>
    </row>
    <row r="59" spans="1:7" x14ac:dyDescent="0.3">
      <c r="A59" s="102">
        <v>43800</v>
      </c>
      <c r="B59" s="101">
        <v>85.38</v>
      </c>
      <c r="C59" s="101">
        <v>89.3</v>
      </c>
      <c r="D59" s="101">
        <v>83.82</v>
      </c>
      <c r="E59" s="101">
        <v>87.92</v>
      </c>
      <c r="F59" s="101">
        <v>78.59</v>
      </c>
      <c r="G59" s="101">
        <v>132545100</v>
      </c>
    </row>
    <row r="60" spans="1:7" x14ac:dyDescent="0.3">
      <c r="A60" s="102">
        <v>43831</v>
      </c>
      <c r="B60" s="101">
        <v>88.12</v>
      </c>
      <c r="C60" s="101">
        <v>94.13</v>
      </c>
      <c r="D60" s="101">
        <v>84.52</v>
      </c>
      <c r="E60" s="101">
        <v>84.83</v>
      </c>
      <c r="F60" s="101">
        <v>75.819999999999993</v>
      </c>
      <c r="G60" s="101">
        <v>170390700</v>
      </c>
    </row>
    <row r="61" spans="1:7" x14ac:dyDescent="0.3">
      <c r="A61" s="102">
        <v>43862</v>
      </c>
      <c r="B61" s="101">
        <v>85.07</v>
      </c>
      <c r="C61" s="101">
        <v>90.51</v>
      </c>
      <c r="D61" s="101">
        <v>75.72</v>
      </c>
      <c r="E61" s="101">
        <v>78.430000000000007</v>
      </c>
      <c r="F61" s="101">
        <v>70.099999999999994</v>
      </c>
      <c r="G61" s="101">
        <v>167202600</v>
      </c>
    </row>
    <row r="62" spans="1:7" x14ac:dyDescent="0.3">
      <c r="A62" s="102">
        <v>43891</v>
      </c>
      <c r="B62" s="101">
        <v>77.92</v>
      </c>
      <c r="C62" s="101">
        <v>82.62</v>
      </c>
      <c r="D62" s="101">
        <v>50.02</v>
      </c>
      <c r="E62" s="101">
        <v>65.739999999999995</v>
      </c>
      <c r="F62" s="101">
        <v>59.04</v>
      </c>
      <c r="G62" s="101">
        <v>445364500</v>
      </c>
    </row>
    <row r="63" spans="1:7" x14ac:dyDescent="0.3">
      <c r="A63" s="102">
        <v>43922</v>
      </c>
      <c r="B63" s="101">
        <v>63</v>
      </c>
      <c r="C63" s="101">
        <v>79.61</v>
      </c>
      <c r="D63" s="101">
        <v>60.9</v>
      </c>
      <c r="E63" s="101">
        <v>76.73</v>
      </c>
      <c r="F63" s="101">
        <v>68.900000000000006</v>
      </c>
      <c r="G63" s="101">
        <v>282837600</v>
      </c>
    </row>
    <row r="64" spans="1:7" x14ac:dyDescent="0.3">
      <c r="A64" s="102">
        <v>43952</v>
      </c>
      <c r="B64" s="101">
        <v>74.900000000000006</v>
      </c>
      <c r="C64" s="101">
        <v>80.06</v>
      </c>
      <c r="D64" s="101">
        <v>70.650000000000006</v>
      </c>
      <c r="E64" s="101">
        <v>77.989999999999995</v>
      </c>
      <c r="F64" s="101">
        <v>70.040000000000006</v>
      </c>
      <c r="G64" s="101">
        <v>201828600</v>
      </c>
    </row>
    <row r="65" spans="1:7" x14ac:dyDescent="0.3">
      <c r="A65" s="102">
        <v>43983</v>
      </c>
      <c r="B65" s="101">
        <v>77.66</v>
      </c>
      <c r="C65" s="101">
        <v>83.62</v>
      </c>
      <c r="D65" s="101">
        <v>71.06</v>
      </c>
      <c r="E65" s="101">
        <v>73.59</v>
      </c>
      <c r="F65" s="101">
        <v>66.459999999999994</v>
      </c>
      <c r="G65" s="101">
        <v>258280600</v>
      </c>
    </row>
    <row r="66" spans="1:7" x14ac:dyDescent="0.3">
      <c r="A66" s="102">
        <v>44013</v>
      </c>
      <c r="B66" s="101">
        <v>74</v>
      </c>
      <c r="C66" s="101">
        <v>78.489999999999995</v>
      </c>
      <c r="D66" s="101">
        <v>71.819999999999993</v>
      </c>
      <c r="E66" s="101">
        <v>76.53</v>
      </c>
      <c r="F66" s="101">
        <v>69.11</v>
      </c>
      <c r="G66" s="101">
        <v>185587300</v>
      </c>
    </row>
    <row r="67" spans="1:7" x14ac:dyDescent="0.3">
      <c r="A67" s="102">
        <v>44044</v>
      </c>
      <c r="B67" s="101">
        <v>76.48</v>
      </c>
      <c r="C67" s="101">
        <v>85.36</v>
      </c>
      <c r="D67" s="101">
        <v>74.760000000000005</v>
      </c>
      <c r="E67" s="101">
        <v>84.47</v>
      </c>
      <c r="F67" s="101">
        <v>76.28</v>
      </c>
      <c r="G67" s="101">
        <v>155854300</v>
      </c>
    </row>
    <row r="68" spans="1:7" x14ac:dyDescent="0.3">
      <c r="A68" s="102">
        <v>44075</v>
      </c>
      <c r="B68" s="101">
        <v>84.7</v>
      </c>
      <c r="C68" s="101">
        <v>89.43</v>
      </c>
      <c r="D68" s="101">
        <v>81.75</v>
      </c>
      <c r="E68" s="101">
        <v>85.92</v>
      </c>
      <c r="F68" s="101">
        <v>78.02</v>
      </c>
      <c r="G68" s="101">
        <v>161248300</v>
      </c>
    </row>
    <row r="69" spans="1:7" x14ac:dyDescent="0.3">
      <c r="A69" s="102">
        <v>44105</v>
      </c>
      <c r="B69" s="101">
        <v>87.04</v>
      </c>
      <c r="C69" s="101">
        <v>91.13</v>
      </c>
      <c r="D69" s="101">
        <v>85.09</v>
      </c>
      <c r="E69" s="101">
        <v>86.96</v>
      </c>
      <c r="F69" s="101">
        <v>78.959999999999994</v>
      </c>
      <c r="G69" s="101">
        <v>145178700</v>
      </c>
    </row>
    <row r="70" spans="1:7" x14ac:dyDescent="0.3">
      <c r="A70" s="102">
        <v>44136</v>
      </c>
      <c r="B70" s="101">
        <v>87.54</v>
      </c>
      <c r="C70" s="101">
        <v>99.33</v>
      </c>
      <c r="D70" s="101">
        <v>85.45</v>
      </c>
      <c r="E70" s="101">
        <v>98.02</v>
      </c>
      <c r="F70" s="101">
        <v>89</v>
      </c>
      <c r="G70" s="101">
        <v>142204300</v>
      </c>
    </row>
    <row r="71" spans="1:7" x14ac:dyDescent="0.3">
      <c r="A71" s="102">
        <v>44166</v>
      </c>
      <c r="B71" s="101">
        <v>99</v>
      </c>
      <c r="C71" s="101">
        <v>107.14</v>
      </c>
      <c r="D71" s="101">
        <v>98.21</v>
      </c>
      <c r="E71" s="101">
        <v>106.98</v>
      </c>
      <c r="F71" s="101">
        <v>97.6</v>
      </c>
      <c r="G71" s="101">
        <v>121635500</v>
      </c>
    </row>
    <row r="72" spans="1:7" x14ac:dyDescent="0.3">
      <c r="A72" s="102">
        <v>44197</v>
      </c>
      <c r="B72" s="101">
        <v>107.66</v>
      </c>
      <c r="C72" s="101">
        <v>107.75</v>
      </c>
      <c r="D72" s="101">
        <v>95.92</v>
      </c>
      <c r="E72" s="101">
        <v>96.81</v>
      </c>
      <c r="F72" s="101">
        <v>88.32</v>
      </c>
      <c r="G72" s="101">
        <v>123895000</v>
      </c>
    </row>
    <row r="73" spans="1:7" x14ac:dyDescent="0.3">
      <c r="A73" s="102">
        <v>44228</v>
      </c>
      <c r="B73" s="101">
        <v>96.99</v>
      </c>
      <c r="C73" s="101">
        <v>109.48</v>
      </c>
      <c r="D73" s="101">
        <v>96.92</v>
      </c>
      <c r="E73" s="101">
        <v>108.03</v>
      </c>
      <c r="F73" s="101">
        <v>98.55</v>
      </c>
      <c r="G73" s="101">
        <v>115469700</v>
      </c>
    </row>
    <row r="74" spans="1:7" x14ac:dyDescent="0.3">
      <c r="A74" s="102">
        <v>44256</v>
      </c>
      <c r="B74" s="101">
        <v>108.6</v>
      </c>
      <c r="C74" s="101">
        <v>112.34</v>
      </c>
      <c r="D74" s="101">
        <v>102.75</v>
      </c>
      <c r="E74" s="101">
        <v>109.27</v>
      </c>
      <c r="F74" s="101">
        <v>100.11</v>
      </c>
      <c r="G74" s="101">
        <v>163152800</v>
      </c>
    </row>
    <row r="75" spans="1:7" x14ac:dyDescent="0.3">
      <c r="A75" s="102">
        <v>44287</v>
      </c>
      <c r="B75" s="101">
        <v>110.06</v>
      </c>
      <c r="C75" s="101">
        <v>118.98</v>
      </c>
      <c r="D75" s="101">
        <v>108.2</v>
      </c>
      <c r="E75" s="101">
        <v>114.49</v>
      </c>
      <c r="F75" s="101">
        <v>104.89</v>
      </c>
      <c r="G75" s="101">
        <v>127018100</v>
      </c>
    </row>
    <row r="76" spans="1:7" x14ac:dyDescent="0.3">
      <c r="A76" s="102">
        <v>44317</v>
      </c>
      <c r="B76" s="101">
        <v>115.18</v>
      </c>
      <c r="C76" s="101">
        <v>116.74</v>
      </c>
      <c r="D76" s="101">
        <v>108.88</v>
      </c>
      <c r="E76" s="101">
        <v>113.88</v>
      </c>
      <c r="F76" s="101">
        <v>104.33</v>
      </c>
      <c r="G76" s="101">
        <v>113824900</v>
      </c>
    </row>
    <row r="77" spans="1:7" x14ac:dyDescent="0.3">
      <c r="A77" s="102">
        <v>44348</v>
      </c>
      <c r="B77" s="101">
        <v>114.56</v>
      </c>
      <c r="C77" s="101">
        <v>114.62</v>
      </c>
      <c r="D77" s="101">
        <v>109.26</v>
      </c>
      <c r="E77" s="101">
        <v>111.81</v>
      </c>
      <c r="F77" s="101">
        <v>102.84</v>
      </c>
      <c r="G77" s="101">
        <v>106401000</v>
      </c>
    </row>
    <row r="78" spans="1:7" x14ac:dyDescent="0.3">
      <c r="A78" s="102">
        <v>44378</v>
      </c>
      <c r="B78" s="101">
        <v>111.95</v>
      </c>
      <c r="C78" s="101">
        <v>126.32</v>
      </c>
      <c r="D78" s="101">
        <v>111.81</v>
      </c>
      <c r="E78" s="101">
        <v>121.43</v>
      </c>
      <c r="F78" s="101">
        <v>111.69</v>
      </c>
      <c r="G78" s="101">
        <v>123985300</v>
      </c>
    </row>
    <row r="79" spans="1:7" x14ac:dyDescent="0.3">
      <c r="A79" s="102">
        <v>44409</v>
      </c>
      <c r="B79" s="101">
        <v>122.03</v>
      </c>
      <c r="C79" s="101">
        <v>122.98</v>
      </c>
      <c r="D79" s="101">
        <v>113.61</v>
      </c>
      <c r="E79" s="101">
        <v>117.49</v>
      </c>
      <c r="F79" s="101">
        <v>108.07</v>
      </c>
      <c r="G79" s="101">
        <v>114457400</v>
      </c>
    </row>
    <row r="80" spans="1:7" x14ac:dyDescent="0.3">
      <c r="A80" s="102">
        <v>44440</v>
      </c>
      <c r="B80" s="101">
        <v>118.01</v>
      </c>
      <c r="C80" s="101">
        <v>120.76</v>
      </c>
      <c r="D80" s="101">
        <v>110.31</v>
      </c>
      <c r="E80" s="101">
        <v>110.31</v>
      </c>
      <c r="F80" s="101">
        <v>101.86</v>
      </c>
      <c r="G80" s="101">
        <v>115995300</v>
      </c>
    </row>
    <row r="81" spans="1:7" x14ac:dyDescent="0.3">
      <c r="A81" s="102">
        <v>44470</v>
      </c>
      <c r="B81" s="101">
        <v>110.89</v>
      </c>
      <c r="C81" s="101">
        <v>115.57</v>
      </c>
      <c r="D81" s="101">
        <v>104.02</v>
      </c>
      <c r="E81" s="101">
        <v>106.07</v>
      </c>
      <c r="F81" s="101">
        <v>97.94</v>
      </c>
      <c r="G81" s="101">
        <v>133499300</v>
      </c>
    </row>
    <row r="82" spans="1:7" x14ac:dyDescent="0.3">
      <c r="A82" s="102">
        <v>44501</v>
      </c>
      <c r="B82" s="101">
        <v>107.23</v>
      </c>
      <c r="C82" s="101">
        <v>117.47</v>
      </c>
      <c r="D82" s="101">
        <v>107.2</v>
      </c>
      <c r="E82" s="101">
        <v>109.64</v>
      </c>
      <c r="F82" s="101">
        <v>101.24</v>
      </c>
      <c r="G82" s="101">
        <v>161726300</v>
      </c>
    </row>
    <row r="83" spans="1:7" x14ac:dyDescent="0.3">
      <c r="A83" s="102">
        <v>44531</v>
      </c>
      <c r="B83" s="101">
        <v>110.96</v>
      </c>
      <c r="C83" s="101">
        <v>117.48</v>
      </c>
      <c r="D83" s="101">
        <v>106.61</v>
      </c>
      <c r="E83" s="101">
        <v>116.97</v>
      </c>
      <c r="F83" s="101">
        <v>108.47</v>
      </c>
      <c r="G83" s="101">
        <v>136705300</v>
      </c>
    </row>
    <row r="84" spans="1:7" x14ac:dyDescent="0.3">
      <c r="A84" s="102">
        <v>44562</v>
      </c>
      <c r="B84" s="101">
        <v>116.47</v>
      </c>
      <c r="C84" s="101">
        <v>117.8</v>
      </c>
      <c r="D84" s="101">
        <v>93.79</v>
      </c>
      <c r="E84" s="101">
        <v>98.32</v>
      </c>
      <c r="F84" s="101">
        <v>91.18</v>
      </c>
      <c r="G84" s="101">
        <v>218687500</v>
      </c>
    </row>
    <row r="85" spans="1:7" x14ac:dyDescent="0.3">
      <c r="A85" s="102">
        <v>44593</v>
      </c>
      <c r="B85" s="101">
        <v>98.42</v>
      </c>
      <c r="C85" s="101">
        <v>99.15</v>
      </c>
      <c r="D85" s="101">
        <v>87.25</v>
      </c>
      <c r="E85" s="101">
        <v>91.79</v>
      </c>
      <c r="F85" s="101">
        <v>85.12</v>
      </c>
      <c r="G85" s="101">
        <v>161930700</v>
      </c>
    </row>
    <row r="86" spans="1:7" x14ac:dyDescent="0.3">
      <c r="A86" s="102">
        <v>44621</v>
      </c>
      <c r="B86" s="101">
        <v>91.49</v>
      </c>
      <c r="C86" s="101">
        <v>93.5</v>
      </c>
      <c r="D86" s="101">
        <v>78.92</v>
      </c>
      <c r="E86" s="101">
        <v>90.97</v>
      </c>
      <c r="F86" s="101">
        <v>84.79</v>
      </c>
      <c r="G86" s="101">
        <v>250082300</v>
      </c>
    </row>
    <row r="87" spans="1:7" x14ac:dyDescent="0.3">
      <c r="A87" s="102">
        <v>44652</v>
      </c>
      <c r="B87" s="101">
        <v>91.5</v>
      </c>
      <c r="C87" s="101">
        <v>91.89</v>
      </c>
      <c r="D87" s="101">
        <v>74.48</v>
      </c>
      <c r="E87" s="101">
        <v>74.64</v>
      </c>
      <c r="F87" s="101">
        <v>69.569999999999993</v>
      </c>
      <c r="G87" s="101">
        <v>195076200</v>
      </c>
    </row>
    <row r="88" spans="1:7" x14ac:dyDescent="0.3">
      <c r="A88" s="102">
        <v>44682</v>
      </c>
      <c r="B88" s="101">
        <v>75.25</v>
      </c>
      <c r="C88" s="101">
        <v>82.87</v>
      </c>
      <c r="D88" s="101">
        <v>68.39</v>
      </c>
      <c r="E88" s="101">
        <v>78.5</v>
      </c>
      <c r="F88" s="101">
        <v>73.17</v>
      </c>
      <c r="G88" s="101">
        <v>291830700</v>
      </c>
    </row>
    <row r="89" spans="1:7" x14ac:dyDescent="0.3">
      <c r="A89" s="102">
        <v>44713</v>
      </c>
      <c r="B89" s="101">
        <v>78.75</v>
      </c>
      <c r="C89" s="101">
        <v>81.3</v>
      </c>
      <c r="D89" s="101">
        <v>70.349999999999994</v>
      </c>
      <c r="E89" s="101">
        <v>76.39</v>
      </c>
      <c r="F89" s="101">
        <v>71.7</v>
      </c>
      <c r="G89" s="101">
        <v>181502100</v>
      </c>
    </row>
    <row r="90" spans="1:7" x14ac:dyDescent="0.3">
      <c r="A90" s="102">
        <v>44743</v>
      </c>
      <c r="B90" s="101">
        <v>76.73</v>
      </c>
      <c r="C90" s="101">
        <v>84.98</v>
      </c>
      <c r="D90" s="101">
        <v>75.73</v>
      </c>
      <c r="E90" s="101">
        <v>84.78</v>
      </c>
      <c r="F90" s="101">
        <v>79.58</v>
      </c>
      <c r="G90" s="101">
        <v>118099000</v>
      </c>
    </row>
    <row r="91" spans="1:7" x14ac:dyDescent="0.3">
      <c r="A91" s="102">
        <v>44774</v>
      </c>
      <c r="B91" s="101">
        <v>84.19</v>
      </c>
      <c r="C91" s="101">
        <v>89.93</v>
      </c>
      <c r="D91" s="101">
        <v>82.69</v>
      </c>
      <c r="E91" s="101">
        <v>84.07</v>
      </c>
      <c r="F91" s="101">
        <v>78.91</v>
      </c>
      <c r="G91" s="101">
        <v>129834700</v>
      </c>
    </row>
    <row r="92" spans="1:7" x14ac:dyDescent="0.3">
      <c r="A92" s="102">
        <v>44805</v>
      </c>
      <c r="B92" s="101">
        <v>83.7</v>
      </c>
      <c r="C92" s="101">
        <v>93.48</v>
      </c>
      <c r="D92" s="101">
        <v>81.67</v>
      </c>
      <c r="E92" s="101">
        <v>84.26</v>
      </c>
      <c r="F92" s="101">
        <v>79.540000000000006</v>
      </c>
      <c r="G92" s="101">
        <v>203634100</v>
      </c>
    </row>
    <row r="93" spans="1:7" x14ac:dyDescent="0.3">
      <c r="A93" s="102">
        <v>44835</v>
      </c>
      <c r="B93" s="101">
        <v>84.75</v>
      </c>
      <c r="C93" s="101">
        <v>90.9</v>
      </c>
      <c r="D93" s="101">
        <v>82.43</v>
      </c>
      <c r="E93" s="101">
        <v>86.59</v>
      </c>
      <c r="F93" s="101">
        <v>81.739999999999995</v>
      </c>
      <c r="G93" s="101">
        <v>158234200</v>
      </c>
    </row>
    <row r="94" spans="1:7" x14ac:dyDescent="0.3">
      <c r="A94" s="102">
        <v>44866</v>
      </c>
      <c r="B94" s="101">
        <v>88.06</v>
      </c>
      <c r="C94" s="101">
        <v>102.56</v>
      </c>
      <c r="D94" s="101">
        <v>82.97</v>
      </c>
      <c r="E94" s="101">
        <v>102.2</v>
      </c>
      <c r="F94" s="101">
        <v>96.47</v>
      </c>
      <c r="G94" s="101">
        <v>162097000</v>
      </c>
    </row>
    <row r="95" spans="1:7" x14ac:dyDescent="0.3">
      <c r="A95" s="102">
        <v>44896</v>
      </c>
      <c r="B95" s="101">
        <v>102.33</v>
      </c>
      <c r="C95" s="101">
        <v>105.54</v>
      </c>
      <c r="D95" s="101">
        <v>96.17</v>
      </c>
      <c r="E95" s="101">
        <v>99.2</v>
      </c>
      <c r="F95" s="101">
        <v>94.18</v>
      </c>
      <c r="G95" s="101">
        <v>130721000</v>
      </c>
    </row>
    <row r="96" spans="1:7" x14ac:dyDescent="0.3">
      <c r="A96" s="102">
        <v>44927</v>
      </c>
      <c r="B96" s="101">
        <v>100.56</v>
      </c>
      <c r="C96" s="101">
        <v>109.76</v>
      </c>
      <c r="D96" s="101">
        <v>99.47</v>
      </c>
      <c r="E96" s="101">
        <v>109.14</v>
      </c>
      <c r="F96" s="101">
        <v>103.62</v>
      </c>
      <c r="G96" s="101">
        <v>128337100</v>
      </c>
    </row>
    <row r="97" spans="1:7" x14ac:dyDescent="0.3">
      <c r="A97" s="102">
        <v>44958</v>
      </c>
      <c r="B97" s="101">
        <v>108.97</v>
      </c>
      <c r="C97" s="101">
        <v>110.83</v>
      </c>
      <c r="D97" s="101">
        <v>100.82</v>
      </c>
      <c r="E97" s="101">
        <v>102.09</v>
      </c>
      <c r="F97" s="101">
        <v>96.92</v>
      </c>
      <c r="G97" s="101">
        <v>123053800</v>
      </c>
    </row>
    <row r="98" spans="1:7" x14ac:dyDescent="0.3">
      <c r="A98" s="102">
        <v>44986</v>
      </c>
      <c r="B98" s="101">
        <v>102.19</v>
      </c>
      <c r="C98" s="101">
        <v>105.94</v>
      </c>
      <c r="D98" s="101">
        <v>97.19</v>
      </c>
      <c r="E98" s="101">
        <v>104.13</v>
      </c>
      <c r="F98" s="101">
        <v>99.36</v>
      </c>
      <c r="G98" s="101">
        <v>132244900</v>
      </c>
    </row>
    <row r="99" spans="1:7" x14ac:dyDescent="0.3">
      <c r="A99" s="102">
        <v>45017</v>
      </c>
      <c r="B99" s="101">
        <v>104.06</v>
      </c>
      <c r="C99" s="101">
        <v>114.31</v>
      </c>
      <c r="D99" s="101">
        <v>103.07</v>
      </c>
      <c r="E99" s="101">
        <v>114.29</v>
      </c>
      <c r="F99" s="101">
        <v>109.05</v>
      </c>
      <c r="G99" s="101">
        <v>96625800</v>
      </c>
    </row>
    <row r="100" spans="1:7" x14ac:dyDescent="0.3">
      <c r="A100" s="102">
        <v>45047</v>
      </c>
      <c r="B100" s="101">
        <v>114.25</v>
      </c>
      <c r="C100" s="101">
        <v>115.48</v>
      </c>
      <c r="D100" s="101">
        <v>96.98</v>
      </c>
      <c r="E100" s="101">
        <v>97.64</v>
      </c>
      <c r="F100" s="101">
        <v>93.16</v>
      </c>
      <c r="G100" s="101">
        <v>157232900</v>
      </c>
    </row>
    <row r="101" spans="1:7" x14ac:dyDescent="0.3">
      <c r="A101" s="102">
        <v>45078</v>
      </c>
      <c r="B101" s="101">
        <v>97.59</v>
      </c>
      <c r="C101" s="101">
        <v>102.51</v>
      </c>
      <c r="D101" s="101">
        <v>96.52</v>
      </c>
      <c r="E101" s="101">
        <v>99.06</v>
      </c>
      <c r="F101" s="101">
        <v>94.99</v>
      </c>
      <c r="G101" s="101">
        <v>151098200</v>
      </c>
    </row>
    <row r="102" spans="1:7" x14ac:dyDescent="0.3">
      <c r="A102" s="102">
        <v>45108</v>
      </c>
      <c r="B102" s="101">
        <v>98.73</v>
      </c>
      <c r="C102" s="101">
        <v>103.77</v>
      </c>
      <c r="D102" s="101">
        <v>95.55</v>
      </c>
      <c r="E102" s="101">
        <v>101.57</v>
      </c>
      <c r="F102" s="101">
        <v>97.4</v>
      </c>
      <c r="G102" s="101">
        <v>131318200</v>
      </c>
    </row>
    <row r="103" spans="1:7" x14ac:dyDescent="0.3">
      <c r="A103" s="102">
        <v>45139</v>
      </c>
      <c r="B103" s="101">
        <v>101.47</v>
      </c>
      <c r="C103" s="101">
        <v>104.46</v>
      </c>
      <c r="D103" s="101">
        <v>93.71</v>
      </c>
      <c r="E103" s="101">
        <v>97.44</v>
      </c>
      <c r="F103" s="101">
        <v>93.44</v>
      </c>
      <c r="G103" s="101">
        <v>127061000</v>
      </c>
    </row>
    <row r="104" spans="1:7" x14ac:dyDescent="0.3">
      <c r="A104" s="102">
        <v>45170</v>
      </c>
      <c r="B104" s="101">
        <v>98.4</v>
      </c>
      <c r="C104" s="101">
        <v>98.75</v>
      </c>
      <c r="D104" s="101">
        <v>90.21</v>
      </c>
      <c r="E104" s="101">
        <v>91.27</v>
      </c>
      <c r="F104" s="101">
        <v>87.99</v>
      </c>
      <c r="G104" s="101">
        <v>113122400</v>
      </c>
    </row>
    <row r="105" spans="1:7" x14ac:dyDescent="0.3">
      <c r="A105" s="102">
        <v>45200</v>
      </c>
      <c r="B105" s="101">
        <v>91.05</v>
      </c>
      <c r="C105" s="101">
        <v>95.66</v>
      </c>
      <c r="D105" s="101">
        <v>89.21</v>
      </c>
      <c r="E105" s="101">
        <v>92.24</v>
      </c>
      <c r="F105" s="101">
        <v>88.92</v>
      </c>
      <c r="G105" s="101">
        <v>127987600</v>
      </c>
    </row>
    <row r="106" spans="1:7" x14ac:dyDescent="0.3">
      <c r="A106" s="102">
        <v>45231</v>
      </c>
      <c r="B106" s="101">
        <v>91.83</v>
      </c>
      <c r="C106" s="101">
        <v>107.66</v>
      </c>
      <c r="D106" s="101">
        <v>90.55</v>
      </c>
      <c r="E106" s="101">
        <v>99.3</v>
      </c>
      <c r="F106" s="101">
        <v>95.73</v>
      </c>
      <c r="G106" s="101">
        <v>186212600</v>
      </c>
    </row>
    <row r="107" spans="1:7" x14ac:dyDescent="0.3">
      <c r="A107" s="102">
        <v>45261</v>
      </c>
      <c r="B107" s="101">
        <v>98.5</v>
      </c>
      <c r="C107" s="101">
        <v>99.28</v>
      </c>
      <c r="D107" s="101">
        <v>94.34</v>
      </c>
      <c r="E107" s="101">
        <v>96.01</v>
      </c>
      <c r="F107" s="101">
        <v>93.06</v>
      </c>
      <c r="G107" s="101">
        <v>166005100</v>
      </c>
    </row>
    <row r="108" spans="1:7" x14ac:dyDescent="0.3">
      <c r="A108" s="102">
        <v>45292</v>
      </c>
      <c r="B108" s="101">
        <v>95.45</v>
      </c>
      <c r="C108" s="101">
        <v>98.36</v>
      </c>
      <c r="D108" s="101">
        <v>91.4</v>
      </c>
      <c r="E108" s="101">
        <v>93.03</v>
      </c>
      <c r="F108" s="101">
        <v>90.18</v>
      </c>
      <c r="G108" s="101">
        <v>199092700</v>
      </c>
    </row>
    <row r="109" spans="1:7" x14ac:dyDescent="0.3">
      <c r="A109" s="102">
        <v>45323</v>
      </c>
      <c r="B109" s="101">
        <v>93.1</v>
      </c>
      <c r="C109" s="101">
        <v>97.99</v>
      </c>
      <c r="D109" s="101">
        <v>91.67</v>
      </c>
      <c r="E109" s="101">
        <v>94.9</v>
      </c>
      <c r="F109" s="101">
        <v>91.99</v>
      </c>
      <c r="G109" s="101">
        <v>172416200</v>
      </c>
    </row>
    <row r="110" spans="1:7" x14ac:dyDescent="0.3">
      <c r="A110" s="102">
        <v>45352</v>
      </c>
      <c r="B110" s="101">
        <v>94.45</v>
      </c>
      <c r="C110" s="101">
        <v>94.57</v>
      </c>
      <c r="D110" s="101">
        <v>90.06</v>
      </c>
      <c r="E110" s="101">
        <v>91.39</v>
      </c>
      <c r="F110" s="101">
        <v>89.12</v>
      </c>
      <c r="G110" s="101">
        <v>152263000</v>
      </c>
    </row>
    <row r="111" spans="1:7" x14ac:dyDescent="0.3">
      <c r="A111" s="102">
        <v>45383</v>
      </c>
      <c r="B111" s="101">
        <v>91.82</v>
      </c>
      <c r="C111" s="101">
        <v>92.07</v>
      </c>
      <c r="D111" s="101">
        <v>84.29</v>
      </c>
      <c r="E111" s="101">
        <v>88.49</v>
      </c>
      <c r="F111" s="101">
        <v>86.29</v>
      </c>
      <c r="G111" s="101">
        <v>177976400</v>
      </c>
    </row>
    <row r="112" spans="1:7" x14ac:dyDescent="0.3">
      <c r="A112" s="102">
        <v>45413</v>
      </c>
      <c r="B112" s="101">
        <v>75.819999999999993</v>
      </c>
      <c r="C112" s="101">
        <v>81.02</v>
      </c>
      <c r="D112" s="101">
        <v>71.8</v>
      </c>
      <c r="E112" s="101">
        <v>80.22</v>
      </c>
      <c r="F112" s="101">
        <v>78.23</v>
      </c>
      <c r="G112" s="101">
        <v>376779600</v>
      </c>
    </row>
    <row r="113" spans="1:7" x14ac:dyDescent="0.3">
      <c r="A113" s="102">
        <v>45444</v>
      </c>
      <c r="B113" s="101">
        <v>79.680000000000007</v>
      </c>
      <c r="C113" s="101">
        <v>83.43</v>
      </c>
      <c r="D113" s="101">
        <v>77.61</v>
      </c>
      <c r="E113" s="101">
        <v>77.849999999999994</v>
      </c>
      <c r="F113" s="101">
        <v>76.489999999999995</v>
      </c>
      <c r="G113" s="101">
        <v>217041000</v>
      </c>
    </row>
    <row r="114" spans="1:7" x14ac:dyDescent="0.3">
      <c r="A114" s="102">
        <v>45474</v>
      </c>
      <c r="B114" s="101">
        <v>77.989999999999995</v>
      </c>
      <c r="C114" s="101">
        <v>81.239999999999995</v>
      </c>
      <c r="D114" s="101">
        <v>71.55</v>
      </c>
      <c r="E114" s="101">
        <v>77.95</v>
      </c>
      <c r="F114" s="101">
        <v>76.59</v>
      </c>
      <c r="G114" s="101">
        <v>280367200</v>
      </c>
    </row>
    <row r="115" spans="1:7" x14ac:dyDescent="0.3">
      <c r="A115" s="102">
        <v>45505</v>
      </c>
      <c r="B115" s="101">
        <v>77.89</v>
      </c>
      <c r="C115" s="101">
        <v>98.72</v>
      </c>
      <c r="D115" s="101">
        <v>72.72</v>
      </c>
      <c r="E115" s="101">
        <v>94.57</v>
      </c>
      <c r="F115" s="101">
        <v>92.92</v>
      </c>
      <c r="G115" s="101">
        <v>446264900</v>
      </c>
    </row>
    <row r="116" spans="1:7" x14ac:dyDescent="0.3">
      <c r="A116" s="102">
        <v>45536</v>
      </c>
      <c r="B116" s="101">
        <v>94.13</v>
      </c>
      <c r="C116" s="101">
        <v>99.51</v>
      </c>
      <c r="D116" s="101">
        <v>90.18</v>
      </c>
      <c r="E116" s="101">
        <v>97.49</v>
      </c>
      <c r="F116" s="101">
        <v>96.37</v>
      </c>
      <c r="G116" s="101">
        <v>198220900</v>
      </c>
    </row>
    <row r="117" spans="1:7" x14ac:dyDescent="0.3">
      <c r="A117" s="102">
        <v>45566</v>
      </c>
      <c r="B117" s="101">
        <v>97.49</v>
      </c>
      <c r="C117" s="101">
        <v>99.42</v>
      </c>
      <c r="D117" s="101">
        <v>93.69</v>
      </c>
      <c r="E117" s="101">
        <v>97.7</v>
      </c>
      <c r="F117" s="101">
        <v>96.58</v>
      </c>
      <c r="G117" s="101">
        <v>167959600</v>
      </c>
    </row>
    <row r="118" spans="1:7" x14ac:dyDescent="0.3">
      <c r="A118" s="102">
        <v>45597</v>
      </c>
      <c r="B118" s="101">
        <v>97.6</v>
      </c>
      <c r="C118" s="101">
        <v>103.32</v>
      </c>
      <c r="D118" s="101">
        <v>94.78</v>
      </c>
      <c r="E118" s="101">
        <v>102.46</v>
      </c>
      <c r="F118" s="101">
        <v>101.28</v>
      </c>
      <c r="G118" s="101">
        <v>147157200</v>
      </c>
    </row>
    <row r="119" spans="1:7" x14ac:dyDescent="0.3">
      <c r="A119" s="102">
        <v>45627</v>
      </c>
      <c r="B119" s="101">
        <v>102</v>
      </c>
      <c r="C119" s="101">
        <v>102.21</v>
      </c>
      <c r="D119" s="101">
        <v>86.3</v>
      </c>
      <c r="E119" s="101">
        <v>91.25</v>
      </c>
      <c r="F119" s="101">
        <v>90.76</v>
      </c>
      <c r="G119" s="101">
        <v>186520300</v>
      </c>
    </row>
    <row r="120" spans="1:7" x14ac:dyDescent="0.3">
      <c r="A120" s="102">
        <v>45658</v>
      </c>
      <c r="B120" s="101">
        <v>91.55</v>
      </c>
      <c r="C120" s="101">
        <v>110.34</v>
      </c>
      <c r="D120" s="101">
        <v>91.38</v>
      </c>
      <c r="E120" s="101">
        <v>107.68</v>
      </c>
      <c r="F120" s="101">
        <v>107.1</v>
      </c>
      <c r="G120" s="101">
        <v>205256400</v>
      </c>
    </row>
    <row r="121" spans="1:7" x14ac:dyDescent="0.3">
      <c r="A121" s="102">
        <v>45689</v>
      </c>
      <c r="B121" s="101">
        <v>105.72</v>
      </c>
      <c r="C121" s="101">
        <v>116.09</v>
      </c>
      <c r="D121" s="101">
        <v>105.52</v>
      </c>
      <c r="E121" s="101">
        <v>115.81</v>
      </c>
      <c r="F121" s="101">
        <v>115.18</v>
      </c>
      <c r="G121" s="101">
        <v>179696000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AC9C-19DB-400E-813F-2AB7E65C29DF}">
  <dimension ref="A1:G121"/>
  <sheetViews>
    <sheetView workbookViewId="0">
      <selection activeCell="H8" sqref="H8"/>
    </sheetView>
  </sheetViews>
  <sheetFormatPr defaultRowHeight="14.4" x14ac:dyDescent="0.3"/>
  <cols>
    <col min="1" max="1" width="19.21875" customWidth="1"/>
  </cols>
  <sheetData>
    <row r="1" spans="1:7" x14ac:dyDescent="0.3">
      <c r="A1" s="104" t="s">
        <v>147</v>
      </c>
      <c r="B1" s="104" t="s">
        <v>148</v>
      </c>
      <c r="C1" s="104" t="s">
        <v>149</v>
      </c>
      <c r="D1" s="104" t="s">
        <v>150</v>
      </c>
      <c r="E1" s="104" t="s">
        <v>151</v>
      </c>
      <c r="F1" s="104" t="s">
        <v>152</v>
      </c>
      <c r="G1" s="104" t="s">
        <v>153</v>
      </c>
    </row>
    <row r="2" spans="1:7" x14ac:dyDescent="0.3">
      <c r="A2" s="102">
        <v>42064</v>
      </c>
      <c r="B2" s="101">
        <v>2105.23</v>
      </c>
      <c r="C2" s="101">
        <v>2117.52</v>
      </c>
      <c r="D2" s="101">
        <v>2039.69</v>
      </c>
      <c r="E2" s="101">
        <v>2067.89</v>
      </c>
      <c r="F2" s="101">
        <v>2067.89</v>
      </c>
      <c r="G2" s="101">
        <v>76675850000</v>
      </c>
    </row>
    <row r="3" spans="1:7" x14ac:dyDescent="0.3">
      <c r="A3" s="102">
        <v>42095</v>
      </c>
      <c r="B3" s="101">
        <v>2067.63</v>
      </c>
      <c r="C3" s="101">
        <v>2125.92</v>
      </c>
      <c r="D3" s="101">
        <v>2048.38</v>
      </c>
      <c r="E3" s="101">
        <v>2085.5100000000002</v>
      </c>
      <c r="F3" s="101">
        <v>2085.5100000000002</v>
      </c>
      <c r="G3" s="101">
        <v>72060940000</v>
      </c>
    </row>
    <row r="4" spans="1:7" x14ac:dyDescent="0.3">
      <c r="A4" s="102">
        <v>42125</v>
      </c>
      <c r="B4" s="101">
        <v>2087.38</v>
      </c>
      <c r="C4" s="101">
        <v>2134.7199999999998</v>
      </c>
      <c r="D4" s="101">
        <v>2067.9299999999998</v>
      </c>
      <c r="E4" s="101">
        <v>2107.39</v>
      </c>
      <c r="F4" s="101">
        <v>2107.39</v>
      </c>
      <c r="G4" s="101">
        <v>65187730000</v>
      </c>
    </row>
    <row r="5" spans="1:7" x14ac:dyDescent="0.3">
      <c r="A5" s="102">
        <v>42156</v>
      </c>
      <c r="B5" s="101">
        <v>2108.64</v>
      </c>
      <c r="C5" s="101">
        <v>2129.87</v>
      </c>
      <c r="D5" s="101">
        <v>2056.3200000000002</v>
      </c>
      <c r="E5" s="101">
        <v>2063.11</v>
      </c>
      <c r="F5" s="101">
        <v>2063.11</v>
      </c>
      <c r="G5" s="101">
        <v>73213980000</v>
      </c>
    </row>
    <row r="6" spans="1:7" x14ac:dyDescent="0.3">
      <c r="A6" s="102">
        <v>42186</v>
      </c>
      <c r="B6" s="101">
        <v>2067</v>
      </c>
      <c r="C6" s="101">
        <v>2132.8200000000002</v>
      </c>
      <c r="D6" s="101">
        <v>2044.02</v>
      </c>
      <c r="E6" s="101">
        <v>2103.84</v>
      </c>
      <c r="F6" s="101">
        <v>2103.84</v>
      </c>
      <c r="G6" s="101">
        <v>77920590000</v>
      </c>
    </row>
    <row r="7" spans="1:7" x14ac:dyDescent="0.3">
      <c r="A7" s="102">
        <v>42217</v>
      </c>
      <c r="B7" s="101">
        <v>2104.4899999999998</v>
      </c>
      <c r="C7" s="101">
        <v>2112.66</v>
      </c>
      <c r="D7" s="101">
        <v>1867.01</v>
      </c>
      <c r="E7" s="101">
        <v>1972.18</v>
      </c>
      <c r="F7" s="101">
        <v>1972.18</v>
      </c>
      <c r="G7" s="101">
        <v>84626790000</v>
      </c>
    </row>
    <row r="8" spans="1:7" x14ac:dyDescent="0.3">
      <c r="A8" s="102">
        <v>42248</v>
      </c>
      <c r="B8" s="101">
        <v>1970.09</v>
      </c>
      <c r="C8" s="101">
        <v>2020.86</v>
      </c>
      <c r="D8" s="101">
        <v>1871.91</v>
      </c>
      <c r="E8" s="101">
        <v>1920.03</v>
      </c>
      <c r="F8" s="101">
        <v>1920.03</v>
      </c>
      <c r="G8" s="101">
        <v>79989370000</v>
      </c>
    </row>
    <row r="9" spans="1:7" x14ac:dyDescent="0.3">
      <c r="A9" s="102">
        <v>42278</v>
      </c>
      <c r="B9" s="101">
        <v>1919.65</v>
      </c>
      <c r="C9" s="101">
        <v>2094.3200000000002</v>
      </c>
      <c r="D9" s="101">
        <v>1893.7</v>
      </c>
      <c r="E9" s="101">
        <v>2079.36</v>
      </c>
      <c r="F9" s="101">
        <v>2079.36</v>
      </c>
      <c r="G9" s="101">
        <v>85844900000</v>
      </c>
    </row>
    <row r="10" spans="1:7" x14ac:dyDescent="0.3">
      <c r="A10" s="102">
        <v>42309</v>
      </c>
      <c r="B10" s="101">
        <v>2080.7600000000002</v>
      </c>
      <c r="C10" s="101">
        <v>2116.48</v>
      </c>
      <c r="D10" s="101">
        <v>2019.39</v>
      </c>
      <c r="E10" s="101">
        <v>2080.41</v>
      </c>
      <c r="F10" s="101">
        <v>2080.41</v>
      </c>
      <c r="G10" s="101">
        <v>75943590000</v>
      </c>
    </row>
    <row r="11" spans="1:7" x14ac:dyDescent="0.3">
      <c r="A11" s="102">
        <v>42339</v>
      </c>
      <c r="B11" s="101">
        <v>2082.9299999999998</v>
      </c>
      <c r="C11" s="101">
        <v>2104.27</v>
      </c>
      <c r="D11" s="101">
        <v>1993.26</v>
      </c>
      <c r="E11" s="101">
        <v>2043.94</v>
      </c>
      <c r="F11" s="101">
        <v>2043.94</v>
      </c>
      <c r="G11" s="101">
        <v>83649260000</v>
      </c>
    </row>
    <row r="12" spans="1:7" x14ac:dyDescent="0.3">
      <c r="A12" s="102">
        <v>42370</v>
      </c>
      <c r="B12" s="101">
        <v>2038.2</v>
      </c>
      <c r="C12" s="101">
        <v>2038.2</v>
      </c>
      <c r="D12" s="101">
        <v>1812.29</v>
      </c>
      <c r="E12" s="101">
        <v>1940.24</v>
      </c>
      <c r="F12" s="101">
        <v>1940.24</v>
      </c>
      <c r="G12" s="101">
        <v>92409770000</v>
      </c>
    </row>
    <row r="13" spans="1:7" x14ac:dyDescent="0.3">
      <c r="A13" s="102">
        <v>42401</v>
      </c>
      <c r="B13" s="101">
        <v>1936.94</v>
      </c>
      <c r="C13" s="101">
        <v>1962.96</v>
      </c>
      <c r="D13" s="101">
        <v>1810.1</v>
      </c>
      <c r="E13" s="101">
        <v>1932.23</v>
      </c>
      <c r="F13" s="101">
        <v>1932.23</v>
      </c>
      <c r="G13" s="101">
        <v>93049560000</v>
      </c>
    </row>
    <row r="14" spans="1:7" x14ac:dyDescent="0.3">
      <c r="A14" s="102">
        <v>42430</v>
      </c>
      <c r="B14" s="101">
        <v>1937.09</v>
      </c>
      <c r="C14" s="101">
        <v>2072.21</v>
      </c>
      <c r="D14" s="101">
        <v>1937.09</v>
      </c>
      <c r="E14" s="101">
        <v>2059.7399999999998</v>
      </c>
      <c r="F14" s="101">
        <v>2059.7399999999998</v>
      </c>
      <c r="G14" s="101">
        <v>92639420000</v>
      </c>
    </row>
    <row r="15" spans="1:7" x14ac:dyDescent="0.3">
      <c r="A15" s="102">
        <v>42461</v>
      </c>
      <c r="B15" s="101">
        <v>2056.62</v>
      </c>
      <c r="C15" s="101">
        <v>2111.0500000000002</v>
      </c>
      <c r="D15" s="101">
        <v>2033.8</v>
      </c>
      <c r="E15" s="101">
        <v>2065.3000000000002</v>
      </c>
      <c r="F15" s="101">
        <v>2065.3000000000002</v>
      </c>
      <c r="G15" s="101">
        <v>81124990000</v>
      </c>
    </row>
    <row r="16" spans="1:7" x14ac:dyDescent="0.3">
      <c r="A16" s="102">
        <v>42491</v>
      </c>
      <c r="B16" s="101">
        <v>2067.17</v>
      </c>
      <c r="C16" s="101">
        <v>2103.48</v>
      </c>
      <c r="D16" s="101">
        <v>2025.91</v>
      </c>
      <c r="E16" s="101">
        <v>2096.9499999999998</v>
      </c>
      <c r="F16" s="101">
        <v>2096.9499999999998</v>
      </c>
      <c r="G16" s="101">
        <v>78883600000</v>
      </c>
    </row>
    <row r="17" spans="1:7" x14ac:dyDescent="0.3">
      <c r="A17" s="102">
        <v>42522</v>
      </c>
      <c r="B17" s="101">
        <v>2093.94</v>
      </c>
      <c r="C17" s="101">
        <v>2120.5500000000002</v>
      </c>
      <c r="D17" s="101">
        <v>1991.68</v>
      </c>
      <c r="E17" s="101">
        <v>2098.86</v>
      </c>
      <c r="F17" s="101">
        <v>2098.86</v>
      </c>
      <c r="G17" s="101">
        <v>86852700000</v>
      </c>
    </row>
    <row r="18" spans="1:7" x14ac:dyDescent="0.3">
      <c r="A18" s="102">
        <v>42552</v>
      </c>
      <c r="B18" s="101">
        <v>2099.34</v>
      </c>
      <c r="C18" s="101">
        <v>2177.09</v>
      </c>
      <c r="D18" s="101">
        <v>2074.02</v>
      </c>
      <c r="E18" s="101">
        <v>2173.6</v>
      </c>
      <c r="F18" s="101">
        <v>2173.6</v>
      </c>
      <c r="G18" s="101">
        <v>69530250000</v>
      </c>
    </row>
    <row r="19" spans="1:7" x14ac:dyDescent="0.3">
      <c r="A19" s="102">
        <v>42583</v>
      </c>
      <c r="B19" s="101">
        <v>2173.15</v>
      </c>
      <c r="C19" s="101">
        <v>2193.81</v>
      </c>
      <c r="D19" s="101">
        <v>2147.58</v>
      </c>
      <c r="E19" s="101">
        <v>2170.9499999999998</v>
      </c>
      <c r="F19" s="101">
        <v>2170.9499999999998</v>
      </c>
      <c r="G19" s="101">
        <v>75610310000</v>
      </c>
    </row>
    <row r="20" spans="1:7" x14ac:dyDescent="0.3">
      <c r="A20" s="102">
        <v>42614</v>
      </c>
      <c r="B20" s="101">
        <v>2171.33</v>
      </c>
      <c r="C20" s="101">
        <v>2187.87</v>
      </c>
      <c r="D20" s="101">
        <v>2119.12</v>
      </c>
      <c r="E20" s="101">
        <v>2168.27</v>
      </c>
      <c r="F20" s="101">
        <v>2168.27</v>
      </c>
      <c r="G20" s="101">
        <v>77023620000</v>
      </c>
    </row>
    <row r="21" spans="1:7" x14ac:dyDescent="0.3">
      <c r="A21" s="102">
        <v>42644</v>
      </c>
      <c r="B21" s="101">
        <v>2164.33</v>
      </c>
      <c r="C21" s="101">
        <v>2169.6</v>
      </c>
      <c r="D21" s="101">
        <v>2114.7199999999998</v>
      </c>
      <c r="E21" s="101">
        <v>2126.15</v>
      </c>
      <c r="F21" s="101">
        <v>2126.15</v>
      </c>
      <c r="G21" s="101">
        <v>72915530000</v>
      </c>
    </row>
    <row r="22" spans="1:7" x14ac:dyDescent="0.3">
      <c r="A22" s="102">
        <v>42675</v>
      </c>
      <c r="B22" s="101">
        <v>2128.6799999999998</v>
      </c>
      <c r="C22" s="101">
        <v>2214.1</v>
      </c>
      <c r="D22" s="101">
        <v>2083.79</v>
      </c>
      <c r="E22" s="101">
        <v>2198.81</v>
      </c>
      <c r="F22" s="101">
        <v>2198.81</v>
      </c>
      <c r="G22" s="101">
        <v>88445380000</v>
      </c>
    </row>
    <row r="23" spans="1:7" x14ac:dyDescent="0.3">
      <c r="A23" s="102">
        <v>42705</v>
      </c>
      <c r="B23" s="101">
        <v>2200.17</v>
      </c>
      <c r="C23" s="101">
        <v>2277.5300000000002</v>
      </c>
      <c r="D23" s="101">
        <v>2187.44</v>
      </c>
      <c r="E23" s="101">
        <v>2238.83</v>
      </c>
      <c r="F23" s="101">
        <v>2238.83</v>
      </c>
      <c r="G23" s="101">
        <v>75344550000</v>
      </c>
    </row>
    <row r="24" spans="1:7" x14ac:dyDescent="0.3">
      <c r="A24" s="102">
        <v>42736</v>
      </c>
      <c r="B24" s="101">
        <v>2251.5700000000002</v>
      </c>
      <c r="C24" s="101">
        <v>2300.9899999999998</v>
      </c>
      <c r="D24" s="101">
        <v>2245.13</v>
      </c>
      <c r="E24" s="101">
        <v>2278.87</v>
      </c>
      <c r="F24" s="101">
        <v>2278.87</v>
      </c>
      <c r="G24" s="101">
        <v>70576420000</v>
      </c>
    </row>
    <row r="25" spans="1:7" x14ac:dyDescent="0.3">
      <c r="A25" s="102">
        <v>42767</v>
      </c>
      <c r="B25" s="101">
        <v>2285.59</v>
      </c>
      <c r="C25" s="101">
        <v>2371.54</v>
      </c>
      <c r="D25" s="101">
        <v>2271.65</v>
      </c>
      <c r="E25" s="101">
        <v>2363.64</v>
      </c>
      <c r="F25" s="101">
        <v>2363.64</v>
      </c>
      <c r="G25" s="101">
        <v>69260940000</v>
      </c>
    </row>
    <row r="26" spans="1:7" x14ac:dyDescent="0.3">
      <c r="A26" s="102">
        <v>42795</v>
      </c>
      <c r="B26" s="101">
        <v>2380.13</v>
      </c>
      <c r="C26" s="101">
        <v>2400.98</v>
      </c>
      <c r="D26" s="101">
        <v>2322.25</v>
      </c>
      <c r="E26" s="101">
        <v>2362.7199999999998</v>
      </c>
      <c r="F26" s="101">
        <v>2362.7199999999998</v>
      </c>
      <c r="G26" s="101">
        <v>81664010000</v>
      </c>
    </row>
    <row r="27" spans="1:7" x14ac:dyDescent="0.3">
      <c r="A27" s="102">
        <v>42826</v>
      </c>
      <c r="B27" s="101">
        <v>2362.34</v>
      </c>
      <c r="C27" s="101">
        <v>2398.16</v>
      </c>
      <c r="D27" s="101">
        <v>2328.9499999999998</v>
      </c>
      <c r="E27" s="101">
        <v>2384.1999999999998</v>
      </c>
      <c r="F27" s="101">
        <v>2384.1999999999998</v>
      </c>
      <c r="G27" s="101">
        <v>65369860000</v>
      </c>
    </row>
    <row r="28" spans="1:7" x14ac:dyDescent="0.3">
      <c r="A28" s="102">
        <v>42856</v>
      </c>
      <c r="B28" s="101">
        <v>2388.5</v>
      </c>
      <c r="C28" s="101">
        <v>2418.71</v>
      </c>
      <c r="D28" s="101">
        <v>2352.7199999999998</v>
      </c>
      <c r="E28" s="101">
        <v>2411.8000000000002</v>
      </c>
      <c r="F28" s="101">
        <v>2411.8000000000002</v>
      </c>
      <c r="G28" s="101">
        <v>79719460000</v>
      </c>
    </row>
    <row r="29" spans="1:7" x14ac:dyDescent="0.3">
      <c r="A29" s="102">
        <v>42887</v>
      </c>
      <c r="B29" s="101">
        <v>2415.65</v>
      </c>
      <c r="C29" s="101">
        <v>2453.8200000000002</v>
      </c>
      <c r="D29" s="101">
        <v>2405.6999999999998</v>
      </c>
      <c r="E29" s="101">
        <v>2423.41</v>
      </c>
      <c r="F29" s="101">
        <v>2423.41</v>
      </c>
      <c r="G29" s="101">
        <v>81078810000</v>
      </c>
    </row>
    <row r="30" spans="1:7" x14ac:dyDescent="0.3">
      <c r="A30" s="102">
        <v>42917</v>
      </c>
      <c r="B30" s="101">
        <v>2431.39</v>
      </c>
      <c r="C30" s="101">
        <v>2484.04</v>
      </c>
      <c r="D30" s="101">
        <v>2407.6999999999998</v>
      </c>
      <c r="E30" s="101">
        <v>2470.3000000000002</v>
      </c>
      <c r="F30" s="101">
        <v>2470.3000000000002</v>
      </c>
      <c r="G30" s="101">
        <v>63348090000</v>
      </c>
    </row>
    <row r="31" spans="1:7" x14ac:dyDescent="0.3">
      <c r="A31" s="102">
        <v>42948</v>
      </c>
      <c r="B31" s="101">
        <v>2477.1</v>
      </c>
      <c r="C31" s="101">
        <v>2490.87</v>
      </c>
      <c r="D31" s="101">
        <v>2417.35</v>
      </c>
      <c r="E31" s="101">
        <v>2471.65</v>
      </c>
      <c r="F31" s="101">
        <v>2471.65</v>
      </c>
      <c r="G31" s="101">
        <v>70784900000</v>
      </c>
    </row>
    <row r="32" spans="1:7" x14ac:dyDescent="0.3">
      <c r="A32" s="102">
        <v>42979</v>
      </c>
      <c r="B32" s="101">
        <v>2474.42</v>
      </c>
      <c r="C32" s="101">
        <v>2519.44</v>
      </c>
      <c r="D32" s="101">
        <v>2446.5500000000002</v>
      </c>
      <c r="E32" s="101">
        <v>2519.36</v>
      </c>
      <c r="F32" s="101">
        <v>2519.36</v>
      </c>
      <c r="G32" s="101">
        <v>66624120000</v>
      </c>
    </row>
    <row r="33" spans="1:7" x14ac:dyDescent="0.3">
      <c r="A33" s="102">
        <v>43009</v>
      </c>
      <c r="B33" s="101">
        <v>2521.1999999999998</v>
      </c>
      <c r="C33" s="101">
        <v>2582.98</v>
      </c>
      <c r="D33" s="101">
        <v>2520.4</v>
      </c>
      <c r="E33" s="101">
        <v>2575.2600000000002</v>
      </c>
      <c r="F33" s="101">
        <v>2575.2600000000002</v>
      </c>
      <c r="G33" s="101">
        <v>71088550000</v>
      </c>
    </row>
    <row r="34" spans="1:7" x14ac:dyDescent="0.3">
      <c r="A34" s="102">
        <v>43040</v>
      </c>
      <c r="B34" s="101">
        <v>2583.21</v>
      </c>
      <c r="C34" s="101">
        <v>2657.74</v>
      </c>
      <c r="D34" s="101">
        <v>2557.4499999999998</v>
      </c>
      <c r="E34" s="101">
        <v>2647.58</v>
      </c>
      <c r="F34" s="101">
        <v>2647.58</v>
      </c>
      <c r="G34" s="101">
        <v>73416960000</v>
      </c>
    </row>
    <row r="35" spans="1:7" x14ac:dyDescent="0.3">
      <c r="A35" s="102">
        <v>43070</v>
      </c>
      <c r="B35" s="101">
        <v>2645.1</v>
      </c>
      <c r="C35" s="101">
        <v>2694.97</v>
      </c>
      <c r="D35" s="101">
        <v>2605.52</v>
      </c>
      <c r="E35" s="101">
        <v>2673.61</v>
      </c>
      <c r="F35" s="101">
        <v>2673.61</v>
      </c>
      <c r="G35" s="101">
        <v>65531700000</v>
      </c>
    </row>
    <row r="36" spans="1:7" x14ac:dyDescent="0.3">
      <c r="A36" s="102">
        <v>43101</v>
      </c>
      <c r="B36" s="101">
        <v>2683.73</v>
      </c>
      <c r="C36" s="101">
        <v>2872.87</v>
      </c>
      <c r="D36" s="101">
        <v>2682.36</v>
      </c>
      <c r="E36" s="101">
        <v>2823.81</v>
      </c>
      <c r="F36" s="101">
        <v>2823.81</v>
      </c>
      <c r="G36" s="101">
        <v>77318690000</v>
      </c>
    </row>
    <row r="37" spans="1:7" x14ac:dyDescent="0.3">
      <c r="A37" s="102">
        <v>43132</v>
      </c>
      <c r="B37" s="101">
        <v>2816.45</v>
      </c>
      <c r="C37" s="101">
        <v>2835.96</v>
      </c>
      <c r="D37" s="101">
        <v>2532.69</v>
      </c>
      <c r="E37" s="101">
        <v>2713.83</v>
      </c>
      <c r="F37" s="101">
        <v>2713.83</v>
      </c>
      <c r="G37" s="101">
        <v>79933970000</v>
      </c>
    </row>
    <row r="38" spans="1:7" x14ac:dyDescent="0.3">
      <c r="A38" s="102">
        <v>43160</v>
      </c>
      <c r="B38" s="101">
        <v>2715.22</v>
      </c>
      <c r="C38" s="101">
        <v>2801.9</v>
      </c>
      <c r="D38" s="101">
        <v>2585.89</v>
      </c>
      <c r="E38" s="101">
        <v>2640.87</v>
      </c>
      <c r="F38" s="101">
        <v>2640.87</v>
      </c>
      <c r="G38" s="101">
        <v>76803890000</v>
      </c>
    </row>
    <row r="39" spans="1:7" x14ac:dyDescent="0.3">
      <c r="A39" s="102">
        <v>43191</v>
      </c>
      <c r="B39" s="101">
        <v>2633.45</v>
      </c>
      <c r="C39" s="101">
        <v>2717.49</v>
      </c>
      <c r="D39" s="101">
        <v>2553.8000000000002</v>
      </c>
      <c r="E39" s="101">
        <v>2648.05</v>
      </c>
      <c r="F39" s="101">
        <v>2648.05</v>
      </c>
      <c r="G39" s="101">
        <v>70194700000</v>
      </c>
    </row>
    <row r="40" spans="1:7" x14ac:dyDescent="0.3">
      <c r="A40" s="102">
        <v>43221</v>
      </c>
      <c r="B40" s="101">
        <v>2642.96</v>
      </c>
      <c r="C40" s="101">
        <v>2742.24</v>
      </c>
      <c r="D40" s="101">
        <v>2594.62</v>
      </c>
      <c r="E40" s="101">
        <v>2705.27</v>
      </c>
      <c r="F40" s="101">
        <v>2705.27</v>
      </c>
      <c r="G40" s="101">
        <v>76011820000</v>
      </c>
    </row>
    <row r="41" spans="1:7" x14ac:dyDescent="0.3">
      <c r="A41" s="102">
        <v>43252</v>
      </c>
      <c r="B41" s="101">
        <v>2718.7</v>
      </c>
      <c r="C41" s="101">
        <v>2791.47</v>
      </c>
      <c r="D41" s="101">
        <v>2691.99</v>
      </c>
      <c r="E41" s="101">
        <v>2718.37</v>
      </c>
      <c r="F41" s="101">
        <v>2718.37</v>
      </c>
      <c r="G41" s="101">
        <v>77891360000</v>
      </c>
    </row>
    <row r="42" spans="1:7" x14ac:dyDescent="0.3">
      <c r="A42" s="102">
        <v>43282</v>
      </c>
      <c r="B42" s="101">
        <v>2704.95</v>
      </c>
      <c r="C42" s="101">
        <v>2848.03</v>
      </c>
      <c r="D42" s="101">
        <v>2698.95</v>
      </c>
      <c r="E42" s="101">
        <v>2816.29</v>
      </c>
      <c r="F42" s="101">
        <v>2816.29</v>
      </c>
      <c r="G42" s="101">
        <v>64898300000</v>
      </c>
    </row>
    <row r="43" spans="1:7" x14ac:dyDescent="0.3">
      <c r="A43" s="102">
        <v>43313</v>
      </c>
      <c r="B43" s="101">
        <v>2821.17</v>
      </c>
      <c r="C43" s="101">
        <v>2916.5</v>
      </c>
      <c r="D43" s="101">
        <v>2796.34</v>
      </c>
      <c r="E43" s="101">
        <v>2901.52</v>
      </c>
      <c r="F43" s="101">
        <v>2901.52</v>
      </c>
      <c r="G43" s="101">
        <v>69523070000</v>
      </c>
    </row>
    <row r="44" spans="1:7" x14ac:dyDescent="0.3">
      <c r="A44" s="102">
        <v>43344</v>
      </c>
      <c r="B44" s="101">
        <v>2896.96</v>
      </c>
      <c r="C44" s="101">
        <v>2940.91</v>
      </c>
      <c r="D44" s="101">
        <v>2864.12</v>
      </c>
      <c r="E44" s="101">
        <v>2913.98</v>
      </c>
      <c r="F44" s="101">
        <v>2913.98</v>
      </c>
      <c r="G44" s="101">
        <v>63031510000</v>
      </c>
    </row>
    <row r="45" spans="1:7" x14ac:dyDescent="0.3">
      <c r="A45" s="102">
        <v>43374</v>
      </c>
      <c r="B45" s="101">
        <v>2926.29</v>
      </c>
      <c r="C45" s="101">
        <v>2939.86</v>
      </c>
      <c r="D45" s="101">
        <v>2603.54</v>
      </c>
      <c r="E45" s="101">
        <v>2711.74</v>
      </c>
      <c r="F45" s="101">
        <v>2711.74</v>
      </c>
      <c r="G45" s="101">
        <v>91930980000</v>
      </c>
    </row>
    <row r="46" spans="1:7" x14ac:dyDescent="0.3">
      <c r="A46" s="102">
        <v>43405</v>
      </c>
      <c r="B46" s="101">
        <v>2717.58</v>
      </c>
      <c r="C46" s="101">
        <v>2815.15</v>
      </c>
      <c r="D46" s="101">
        <v>2631.09</v>
      </c>
      <c r="E46" s="101">
        <v>2760.17</v>
      </c>
      <c r="F46" s="101">
        <v>2760.17</v>
      </c>
      <c r="G46" s="101">
        <v>80620020000</v>
      </c>
    </row>
    <row r="47" spans="1:7" x14ac:dyDescent="0.3">
      <c r="A47" s="102">
        <v>43435</v>
      </c>
      <c r="B47" s="101">
        <v>2790.5</v>
      </c>
      <c r="C47" s="101">
        <v>2800.18</v>
      </c>
      <c r="D47" s="101">
        <v>2346.58</v>
      </c>
      <c r="E47" s="101">
        <v>2506.85</v>
      </c>
      <c r="F47" s="101">
        <v>2506.85</v>
      </c>
      <c r="G47" s="101">
        <v>84162180000</v>
      </c>
    </row>
    <row r="48" spans="1:7" x14ac:dyDescent="0.3">
      <c r="A48" s="102">
        <v>43466</v>
      </c>
      <c r="B48" s="101">
        <v>2476.96</v>
      </c>
      <c r="C48" s="101">
        <v>2708.95</v>
      </c>
      <c r="D48" s="101">
        <v>2443.96</v>
      </c>
      <c r="E48" s="101">
        <v>2704.1</v>
      </c>
      <c r="F48" s="101">
        <v>2704.1</v>
      </c>
      <c r="G48" s="101">
        <v>80859870000</v>
      </c>
    </row>
    <row r="49" spans="1:7" x14ac:dyDescent="0.3">
      <c r="A49" s="102">
        <v>43497</v>
      </c>
      <c r="B49" s="101">
        <v>2702.32</v>
      </c>
      <c r="C49" s="101">
        <v>2813.49</v>
      </c>
      <c r="D49" s="101">
        <v>2681.83</v>
      </c>
      <c r="E49" s="101">
        <v>2784.49</v>
      </c>
      <c r="F49" s="101">
        <v>2784.49</v>
      </c>
      <c r="G49" s="101">
        <v>70638770000</v>
      </c>
    </row>
    <row r="50" spans="1:7" x14ac:dyDescent="0.3">
      <c r="A50" s="102">
        <v>43525</v>
      </c>
      <c r="B50" s="101">
        <v>2798.22</v>
      </c>
      <c r="C50" s="101">
        <v>2860.31</v>
      </c>
      <c r="D50" s="101">
        <v>2722.27</v>
      </c>
      <c r="E50" s="101">
        <v>2834.4</v>
      </c>
      <c r="F50" s="101">
        <v>2834.4</v>
      </c>
      <c r="G50" s="101">
        <v>79159660000</v>
      </c>
    </row>
    <row r="51" spans="1:7" x14ac:dyDescent="0.3">
      <c r="A51" s="102">
        <v>43556</v>
      </c>
      <c r="B51" s="101">
        <v>2848.63</v>
      </c>
      <c r="C51" s="101">
        <v>2949.52</v>
      </c>
      <c r="D51" s="101">
        <v>2848.63</v>
      </c>
      <c r="E51" s="101">
        <v>2945.83</v>
      </c>
      <c r="F51" s="101">
        <v>2945.83</v>
      </c>
      <c r="G51" s="101">
        <v>70090370000</v>
      </c>
    </row>
    <row r="52" spans="1:7" x14ac:dyDescent="0.3">
      <c r="A52" s="102">
        <v>43586</v>
      </c>
      <c r="B52" s="101">
        <v>2952.33</v>
      </c>
      <c r="C52" s="101">
        <v>2954.13</v>
      </c>
      <c r="D52" s="101">
        <v>2750.52</v>
      </c>
      <c r="E52" s="101">
        <v>2752.06</v>
      </c>
      <c r="F52" s="101">
        <v>2752.06</v>
      </c>
      <c r="G52" s="101">
        <v>77250740000</v>
      </c>
    </row>
    <row r="53" spans="1:7" x14ac:dyDescent="0.3">
      <c r="A53" s="102">
        <v>43617</v>
      </c>
      <c r="B53" s="101">
        <v>2751.53</v>
      </c>
      <c r="C53" s="101">
        <v>2964.15</v>
      </c>
      <c r="D53" s="101">
        <v>2728.81</v>
      </c>
      <c r="E53" s="101">
        <v>2941.76</v>
      </c>
      <c r="F53" s="101">
        <v>2941.76</v>
      </c>
      <c r="G53" s="101">
        <v>71250630000</v>
      </c>
    </row>
    <row r="54" spans="1:7" x14ac:dyDescent="0.3">
      <c r="A54" s="102">
        <v>43647</v>
      </c>
      <c r="B54" s="101">
        <v>2971.41</v>
      </c>
      <c r="C54" s="101">
        <v>3027.98</v>
      </c>
      <c r="D54" s="101">
        <v>2952.22</v>
      </c>
      <c r="E54" s="101">
        <v>2980.38</v>
      </c>
      <c r="F54" s="101">
        <v>2980.38</v>
      </c>
      <c r="G54" s="101">
        <v>70599470000</v>
      </c>
    </row>
    <row r="55" spans="1:7" x14ac:dyDescent="0.3">
      <c r="A55" s="102">
        <v>43678</v>
      </c>
      <c r="B55" s="101">
        <v>2980.32</v>
      </c>
      <c r="C55" s="101">
        <v>3013.59</v>
      </c>
      <c r="D55" s="101">
        <v>2822.12</v>
      </c>
      <c r="E55" s="101">
        <v>2926.46</v>
      </c>
      <c r="F55" s="101">
        <v>2926.46</v>
      </c>
      <c r="G55" s="101">
        <v>80269220000</v>
      </c>
    </row>
    <row r="56" spans="1:7" x14ac:dyDescent="0.3">
      <c r="A56" s="102">
        <v>43709</v>
      </c>
      <c r="B56" s="101">
        <v>2909.01</v>
      </c>
      <c r="C56" s="101">
        <v>3021.99</v>
      </c>
      <c r="D56" s="101">
        <v>2891.85</v>
      </c>
      <c r="E56" s="101">
        <v>2976.74</v>
      </c>
      <c r="F56" s="101">
        <v>2976.74</v>
      </c>
      <c r="G56" s="101">
        <v>74178980000</v>
      </c>
    </row>
    <row r="57" spans="1:7" x14ac:dyDescent="0.3">
      <c r="A57" s="102">
        <v>43739</v>
      </c>
      <c r="B57" s="101">
        <v>2983.69</v>
      </c>
      <c r="C57" s="101">
        <v>3050.1</v>
      </c>
      <c r="D57" s="101">
        <v>2855.94</v>
      </c>
      <c r="E57" s="101">
        <v>3037.56</v>
      </c>
      <c r="F57" s="101">
        <v>3037.56</v>
      </c>
      <c r="G57" s="101">
        <v>77720640000</v>
      </c>
    </row>
    <row r="58" spans="1:7" x14ac:dyDescent="0.3">
      <c r="A58" s="102">
        <v>43770</v>
      </c>
      <c r="B58" s="101">
        <v>3050.72</v>
      </c>
      <c r="C58" s="101">
        <v>3154.26</v>
      </c>
      <c r="D58" s="101">
        <v>3050.72</v>
      </c>
      <c r="E58" s="101">
        <v>3140.98</v>
      </c>
      <c r="F58" s="101">
        <v>3140.98</v>
      </c>
      <c r="G58" s="101">
        <v>72410620000</v>
      </c>
    </row>
    <row r="59" spans="1:7" x14ac:dyDescent="0.3">
      <c r="A59" s="102">
        <v>43800</v>
      </c>
      <c r="B59" s="101">
        <v>3143.85</v>
      </c>
      <c r="C59" s="101">
        <v>3247.93</v>
      </c>
      <c r="D59" s="101">
        <v>3070.33</v>
      </c>
      <c r="E59" s="101">
        <v>3230.78</v>
      </c>
      <c r="F59" s="101">
        <v>3230.78</v>
      </c>
      <c r="G59" s="101">
        <v>72325540000</v>
      </c>
    </row>
    <row r="60" spans="1:7" x14ac:dyDescent="0.3">
      <c r="A60" s="102">
        <v>43831</v>
      </c>
      <c r="B60" s="101">
        <v>3244.67</v>
      </c>
      <c r="C60" s="101">
        <v>3337.77</v>
      </c>
      <c r="D60" s="101">
        <v>3214.64</v>
      </c>
      <c r="E60" s="101">
        <v>3225.52</v>
      </c>
      <c r="F60" s="101">
        <v>3225.52</v>
      </c>
      <c r="G60" s="101">
        <v>77287980000</v>
      </c>
    </row>
    <row r="61" spans="1:7" x14ac:dyDescent="0.3">
      <c r="A61" s="102">
        <v>43862</v>
      </c>
      <c r="B61" s="101">
        <v>3235.66</v>
      </c>
      <c r="C61" s="101">
        <v>3393.52</v>
      </c>
      <c r="D61" s="101">
        <v>2855.84</v>
      </c>
      <c r="E61" s="101">
        <v>2954.22</v>
      </c>
      <c r="F61" s="101">
        <v>2954.22</v>
      </c>
      <c r="G61" s="101">
        <v>84436590000</v>
      </c>
    </row>
    <row r="62" spans="1:7" x14ac:dyDescent="0.3">
      <c r="A62" s="102">
        <v>43891</v>
      </c>
      <c r="B62" s="101">
        <v>2974.28</v>
      </c>
      <c r="C62" s="101">
        <v>3136.72</v>
      </c>
      <c r="D62" s="101">
        <v>2191.86</v>
      </c>
      <c r="E62" s="101">
        <v>2584.59</v>
      </c>
      <c r="F62" s="101">
        <v>2584.59</v>
      </c>
      <c r="G62" s="101">
        <v>162185380000</v>
      </c>
    </row>
    <row r="63" spans="1:7" x14ac:dyDescent="0.3">
      <c r="A63" s="102">
        <v>43922</v>
      </c>
      <c r="B63" s="101">
        <v>2498.08</v>
      </c>
      <c r="C63" s="101">
        <v>2954.86</v>
      </c>
      <c r="D63" s="101">
        <v>2447.4899999999998</v>
      </c>
      <c r="E63" s="101">
        <v>2912.43</v>
      </c>
      <c r="F63" s="101">
        <v>2912.43</v>
      </c>
      <c r="G63" s="101">
        <v>123608160000</v>
      </c>
    </row>
    <row r="64" spans="1:7" x14ac:dyDescent="0.3">
      <c r="A64" s="102">
        <v>43952</v>
      </c>
      <c r="B64" s="101">
        <v>2869.09</v>
      </c>
      <c r="C64" s="101">
        <v>3068.67</v>
      </c>
      <c r="D64" s="101">
        <v>2766.64</v>
      </c>
      <c r="E64" s="101">
        <v>3044.31</v>
      </c>
      <c r="F64" s="101">
        <v>3044.31</v>
      </c>
      <c r="G64" s="101">
        <v>107135190000</v>
      </c>
    </row>
    <row r="65" spans="1:7" x14ac:dyDescent="0.3">
      <c r="A65" s="102">
        <v>43983</v>
      </c>
      <c r="B65" s="101">
        <v>3038.78</v>
      </c>
      <c r="C65" s="101">
        <v>3233.13</v>
      </c>
      <c r="D65" s="101">
        <v>2965.66</v>
      </c>
      <c r="E65" s="101">
        <v>3100.29</v>
      </c>
      <c r="F65" s="101">
        <v>3100.29</v>
      </c>
      <c r="G65" s="101">
        <v>131458880000</v>
      </c>
    </row>
    <row r="66" spans="1:7" x14ac:dyDescent="0.3">
      <c r="A66" s="102">
        <v>44013</v>
      </c>
      <c r="B66" s="101">
        <v>3105.92</v>
      </c>
      <c r="C66" s="101">
        <v>3279.99</v>
      </c>
      <c r="D66" s="101">
        <v>3101.17</v>
      </c>
      <c r="E66" s="101">
        <v>3271.12</v>
      </c>
      <c r="F66" s="101">
        <v>3271.12</v>
      </c>
      <c r="G66" s="101">
        <v>96928130000</v>
      </c>
    </row>
    <row r="67" spans="1:7" x14ac:dyDescent="0.3">
      <c r="A67" s="102">
        <v>44044</v>
      </c>
      <c r="B67" s="101">
        <v>3288.26</v>
      </c>
      <c r="C67" s="101">
        <v>3514.77</v>
      </c>
      <c r="D67" s="101">
        <v>3284.53</v>
      </c>
      <c r="E67" s="101">
        <v>3500.31</v>
      </c>
      <c r="F67" s="101">
        <v>3500.31</v>
      </c>
      <c r="G67" s="101">
        <v>82466520000</v>
      </c>
    </row>
    <row r="68" spans="1:7" x14ac:dyDescent="0.3">
      <c r="A68" s="102">
        <v>44075</v>
      </c>
      <c r="B68" s="101">
        <v>3507.44</v>
      </c>
      <c r="C68" s="101">
        <v>3588.11</v>
      </c>
      <c r="D68" s="101">
        <v>3209.45</v>
      </c>
      <c r="E68" s="101">
        <v>3363</v>
      </c>
      <c r="F68" s="101">
        <v>3363</v>
      </c>
      <c r="G68" s="101">
        <v>92310780000</v>
      </c>
    </row>
    <row r="69" spans="1:7" x14ac:dyDescent="0.3">
      <c r="A69" s="102">
        <v>44105</v>
      </c>
      <c r="B69" s="101">
        <v>3385.87</v>
      </c>
      <c r="C69" s="101">
        <v>3549.85</v>
      </c>
      <c r="D69" s="101">
        <v>3233.94</v>
      </c>
      <c r="E69" s="101">
        <v>3269.96</v>
      </c>
      <c r="F69" s="101">
        <v>3269.96</v>
      </c>
      <c r="G69" s="101">
        <v>89938980000</v>
      </c>
    </row>
    <row r="70" spans="1:7" x14ac:dyDescent="0.3">
      <c r="A70" s="102">
        <v>44136</v>
      </c>
      <c r="B70" s="101">
        <v>3296.2</v>
      </c>
      <c r="C70" s="101">
        <v>3645.99</v>
      </c>
      <c r="D70" s="101">
        <v>3279.74</v>
      </c>
      <c r="E70" s="101">
        <v>3621.63</v>
      </c>
      <c r="F70" s="101">
        <v>3621.63</v>
      </c>
      <c r="G70" s="101">
        <v>101247180000</v>
      </c>
    </row>
    <row r="71" spans="1:7" x14ac:dyDescent="0.3">
      <c r="A71" s="102">
        <v>44166</v>
      </c>
      <c r="B71" s="101">
        <v>3645.87</v>
      </c>
      <c r="C71" s="101">
        <v>3760.2</v>
      </c>
      <c r="D71" s="101">
        <v>3633.4</v>
      </c>
      <c r="E71" s="101">
        <v>3756.07</v>
      </c>
      <c r="F71" s="101">
        <v>3756.07</v>
      </c>
      <c r="G71" s="101">
        <v>96375680000</v>
      </c>
    </row>
    <row r="72" spans="1:7" x14ac:dyDescent="0.3">
      <c r="A72" s="102">
        <v>44197</v>
      </c>
      <c r="B72" s="101">
        <v>3764.61</v>
      </c>
      <c r="C72" s="101">
        <v>3870.9</v>
      </c>
      <c r="D72" s="101">
        <v>3662.71</v>
      </c>
      <c r="E72" s="101">
        <v>3714.24</v>
      </c>
      <c r="F72" s="101">
        <v>3714.24</v>
      </c>
      <c r="G72" s="101">
        <v>106117800000</v>
      </c>
    </row>
    <row r="73" spans="1:7" x14ac:dyDescent="0.3">
      <c r="A73" s="102">
        <v>44228</v>
      </c>
      <c r="B73" s="101">
        <v>3731.17</v>
      </c>
      <c r="C73" s="101">
        <v>3950.43</v>
      </c>
      <c r="D73" s="101">
        <v>3725.62</v>
      </c>
      <c r="E73" s="101">
        <v>3811.15</v>
      </c>
      <c r="F73" s="101">
        <v>3811.15</v>
      </c>
      <c r="G73" s="101">
        <v>99082320000</v>
      </c>
    </row>
    <row r="74" spans="1:7" x14ac:dyDescent="0.3">
      <c r="A74" s="102">
        <v>44256</v>
      </c>
      <c r="B74" s="101">
        <v>3842.51</v>
      </c>
      <c r="C74" s="101">
        <v>3994.41</v>
      </c>
      <c r="D74" s="101">
        <v>3723.34</v>
      </c>
      <c r="E74" s="101">
        <v>3972.89</v>
      </c>
      <c r="F74" s="101">
        <v>3972.89</v>
      </c>
      <c r="G74" s="101">
        <v>122371150000</v>
      </c>
    </row>
    <row r="75" spans="1:7" x14ac:dyDescent="0.3">
      <c r="A75" s="102">
        <v>44287</v>
      </c>
      <c r="B75" s="101">
        <v>3992.78</v>
      </c>
      <c r="C75" s="101">
        <v>4218.78</v>
      </c>
      <c r="D75" s="101">
        <v>3992.78</v>
      </c>
      <c r="E75" s="101">
        <v>4181.17</v>
      </c>
      <c r="F75" s="101">
        <v>4181.17</v>
      </c>
      <c r="G75" s="101">
        <v>83124090000</v>
      </c>
    </row>
    <row r="76" spans="1:7" x14ac:dyDescent="0.3">
      <c r="A76" s="102">
        <v>44317</v>
      </c>
      <c r="B76" s="101">
        <v>4191.9799999999996</v>
      </c>
      <c r="C76" s="101">
        <v>4238.04</v>
      </c>
      <c r="D76" s="101">
        <v>4056.88</v>
      </c>
      <c r="E76" s="101">
        <v>4204.1099999999997</v>
      </c>
      <c r="F76" s="101">
        <v>4204.1099999999997</v>
      </c>
      <c r="G76" s="101">
        <v>88321860000</v>
      </c>
    </row>
    <row r="77" spans="1:7" x14ac:dyDescent="0.3">
      <c r="A77" s="102">
        <v>44348</v>
      </c>
      <c r="B77" s="101">
        <v>4216.5200000000004</v>
      </c>
      <c r="C77" s="101">
        <v>4302.43</v>
      </c>
      <c r="D77" s="101">
        <v>4164.3999999999996</v>
      </c>
      <c r="E77" s="101">
        <v>4297.5</v>
      </c>
      <c r="F77" s="101">
        <v>4297.5</v>
      </c>
      <c r="G77" s="101">
        <v>102544180000</v>
      </c>
    </row>
    <row r="78" spans="1:7" x14ac:dyDescent="0.3">
      <c r="A78" s="102">
        <v>44378</v>
      </c>
      <c r="B78" s="101">
        <v>4300.7299999999996</v>
      </c>
      <c r="C78" s="101">
        <v>4429.97</v>
      </c>
      <c r="D78" s="101">
        <v>4233.13</v>
      </c>
      <c r="E78" s="101">
        <v>4395.26</v>
      </c>
      <c r="F78" s="101">
        <v>4395.26</v>
      </c>
      <c r="G78" s="101">
        <v>84255620000</v>
      </c>
    </row>
    <row r="79" spans="1:7" x14ac:dyDescent="0.3">
      <c r="A79" s="102">
        <v>44409</v>
      </c>
      <c r="B79" s="101">
        <v>4406.8599999999997</v>
      </c>
      <c r="C79" s="101">
        <v>4537.3599999999997</v>
      </c>
      <c r="D79" s="101">
        <v>4367.7299999999996</v>
      </c>
      <c r="E79" s="101">
        <v>4522.68</v>
      </c>
      <c r="F79" s="101">
        <v>4522.68</v>
      </c>
      <c r="G79" s="101">
        <v>80500760000</v>
      </c>
    </row>
    <row r="80" spans="1:7" x14ac:dyDescent="0.3">
      <c r="A80" s="102">
        <v>44440</v>
      </c>
      <c r="B80" s="101">
        <v>4528.8</v>
      </c>
      <c r="C80" s="101">
        <v>4545.8500000000004</v>
      </c>
      <c r="D80" s="101">
        <v>4305.91</v>
      </c>
      <c r="E80" s="101">
        <v>4307.54</v>
      </c>
      <c r="F80" s="101">
        <v>4307.54</v>
      </c>
      <c r="G80" s="101">
        <v>85528860000</v>
      </c>
    </row>
    <row r="81" spans="1:7" x14ac:dyDescent="0.3">
      <c r="A81" s="102">
        <v>44470</v>
      </c>
      <c r="B81" s="101">
        <v>4317.16</v>
      </c>
      <c r="C81" s="101">
        <v>4608.08</v>
      </c>
      <c r="D81" s="101">
        <v>4278.9399999999996</v>
      </c>
      <c r="E81" s="101">
        <v>4605.38</v>
      </c>
      <c r="F81" s="101">
        <v>4605.38</v>
      </c>
      <c r="G81" s="101">
        <v>80253600000</v>
      </c>
    </row>
    <row r="82" spans="1:7" x14ac:dyDescent="0.3">
      <c r="A82" s="102">
        <v>44501</v>
      </c>
      <c r="B82" s="101">
        <v>4610.62</v>
      </c>
      <c r="C82" s="101">
        <v>4743.83</v>
      </c>
      <c r="D82" s="101">
        <v>4560</v>
      </c>
      <c r="E82" s="101">
        <v>4567</v>
      </c>
      <c r="F82" s="101">
        <v>4567</v>
      </c>
      <c r="G82" s="101">
        <v>88268840000</v>
      </c>
    </row>
    <row r="83" spans="1:7" x14ac:dyDescent="0.3">
      <c r="A83" s="102">
        <v>44531</v>
      </c>
      <c r="B83" s="101">
        <v>4602.82</v>
      </c>
      <c r="C83" s="101">
        <v>4808.93</v>
      </c>
      <c r="D83" s="101">
        <v>4495.12</v>
      </c>
      <c r="E83" s="101">
        <v>4766.18</v>
      </c>
      <c r="F83" s="101">
        <v>4766.18</v>
      </c>
      <c r="G83" s="101">
        <v>92750180000</v>
      </c>
    </row>
    <row r="84" spans="1:7" x14ac:dyDescent="0.3">
      <c r="A84" s="102">
        <v>44562</v>
      </c>
      <c r="B84" s="101">
        <v>4778.1400000000003</v>
      </c>
      <c r="C84" s="101">
        <v>4818.62</v>
      </c>
      <c r="D84" s="101">
        <v>4222.62</v>
      </c>
      <c r="E84" s="101">
        <v>4515.55</v>
      </c>
      <c r="F84" s="101">
        <v>4515.55</v>
      </c>
      <c r="G84" s="101">
        <v>95562890000</v>
      </c>
    </row>
    <row r="85" spans="1:7" x14ac:dyDescent="0.3">
      <c r="A85" s="102">
        <v>44593</v>
      </c>
      <c r="B85" s="101">
        <v>4519.57</v>
      </c>
      <c r="C85" s="101">
        <v>4595.3100000000004</v>
      </c>
      <c r="D85" s="101">
        <v>4114.6499999999996</v>
      </c>
      <c r="E85" s="101">
        <v>4373.9399999999996</v>
      </c>
      <c r="F85" s="101">
        <v>4373.9399999999996</v>
      </c>
      <c r="G85" s="101">
        <v>92667710000</v>
      </c>
    </row>
    <row r="86" spans="1:7" x14ac:dyDescent="0.3">
      <c r="A86" s="102">
        <v>44621</v>
      </c>
      <c r="B86" s="101">
        <v>4363.1400000000003</v>
      </c>
      <c r="C86" s="101">
        <v>4637.3</v>
      </c>
      <c r="D86" s="101">
        <v>4157.87</v>
      </c>
      <c r="E86" s="101">
        <v>4530.41</v>
      </c>
      <c r="F86" s="101">
        <v>4530.41</v>
      </c>
      <c r="G86" s="101">
        <v>123546260000</v>
      </c>
    </row>
    <row r="87" spans="1:7" x14ac:dyDescent="0.3">
      <c r="A87" s="102">
        <v>44652</v>
      </c>
      <c r="B87" s="101">
        <v>4540.32</v>
      </c>
      <c r="C87" s="101">
        <v>4593.45</v>
      </c>
      <c r="D87" s="101">
        <v>4124.28</v>
      </c>
      <c r="E87" s="101">
        <v>4131.93</v>
      </c>
      <c r="F87" s="101">
        <v>4131.93</v>
      </c>
      <c r="G87" s="101">
        <v>90367840000</v>
      </c>
    </row>
    <row r="88" spans="1:7" x14ac:dyDescent="0.3">
      <c r="A88" s="102">
        <v>44682</v>
      </c>
      <c r="B88" s="101">
        <v>4130.6099999999997</v>
      </c>
      <c r="C88" s="101">
        <v>4307.66</v>
      </c>
      <c r="D88" s="101">
        <v>3810.32</v>
      </c>
      <c r="E88" s="101">
        <v>4132.1499999999996</v>
      </c>
      <c r="F88" s="101">
        <v>4132.1499999999996</v>
      </c>
      <c r="G88" s="101">
        <v>108860390000</v>
      </c>
    </row>
    <row r="89" spans="1:7" x14ac:dyDescent="0.3">
      <c r="A89" s="102">
        <v>44713</v>
      </c>
      <c r="B89" s="101">
        <v>4149.78</v>
      </c>
      <c r="C89" s="101">
        <v>4177.51</v>
      </c>
      <c r="D89" s="101">
        <v>3636.87</v>
      </c>
      <c r="E89" s="101">
        <v>3785.38</v>
      </c>
      <c r="F89" s="101">
        <v>3785.38</v>
      </c>
      <c r="G89" s="101">
        <v>106116710000</v>
      </c>
    </row>
    <row r="90" spans="1:7" x14ac:dyDescent="0.3">
      <c r="A90" s="102">
        <v>44743</v>
      </c>
      <c r="B90" s="101">
        <v>3781</v>
      </c>
      <c r="C90" s="101">
        <v>4140.1499999999996</v>
      </c>
      <c r="D90" s="101">
        <v>3721.56</v>
      </c>
      <c r="E90" s="101">
        <v>4130.29</v>
      </c>
      <c r="F90" s="101">
        <v>4130.29</v>
      </c>
      <c r="G90" s="101">
        <v>81688320000</v>
      </c>
    </row>
    <row r="91" spans="1:7" x14ac:dyDescent="0.3">
      <c r="A91" s="102">
        <v>44774</v>
      </c>
      <c r="B91" s="101">
        <v>4112.38</v>
      </c>
      <c r="C91" s="101">
        <v>4325.28</v>
      </c>
      <c r="D91" s="101">
        <v>3954.53</v>
      </c>
      <c r="E91" s="101">
        <v>3955</v>
      </c>
      <c r="F91" s="101">
        <v>3955</v>
      </c>
      <c r="G91" s="101">
        <v>92252350000</v>
      </c>
    </row>
    <row r="92" spans="1:7" x14ac:dyDescent="0.3">
      <c r="A92" s="102">
        <v>44805</v>
      </c>
      <c r="B92" s="101">
        <v>3936.73</v>
      </c>
      <c r="C92" s="101">
        <v>4119.28</v>
      </c>
      <c r="D92" s="101">
        <v>3584.13</v>
      </c>
      <c r="E92" s="101">
        <v>3585.62</v>
      </c>
      <c r="F92" s="101">
        <v>3585.62</v>
      </c>
      <c r="G92" s="101">
        <v>94241020000</v>
      </c>
    </row>
    <row r="93" spans="1:7" x14ac:dyDescent="0.3">
      <c r="A93" s="102">
        <v>44835</v>
      </c>
      <c r="B93" s="101">
        <v>3609.78</v>
      </c>
      <c r="C93" s="101">
        <v>3905.42</v>
      </c>
      <c r="D93" s="101">
        <v>3491.58</v>
      </c>
      <c r="E93" s="101">
        <v>3871.98</v>
      </c>
      <c r="F93" s="101">
        <v>3871.98</v>
      </c>
      <c r="G93" s="101">
        <v>95823760000</v>
      </c>
    </row>
    <row r="94" spans="1:7" x14ac:dyDescent="0.3">
      <c r="A94" s="102">
        <v>44866</v>
      </c>
      <c r="B94" s="101">
        <v>3901.79</v>
      </c>
      <c r="C94" s="101">
        <v>4080.11</v>
      </c>
      <c r="D94" s="101">
        <v>3698.15</v>
      </c>
      <c r="E94" s="101">
        <v>4080.11</v>
      </c>
      <c r="F94" s="101">
        <v>4080.11</v>
      </c>
      <c r="G94" s="101">
        <v>92671910000</v>
      </c>
    </row>
    <row r="95" spans="1:7" x14ac:dyDescent="0.3">
      <c r="A95" s="102">
        <v>44896</v>
      </c>
      <c r="B95" s="101">
        <v>4087.14</v>
      </c>
      <c r="C95" s="101">
        <v>4100.96</v>
      </c>
      <c r="D95" s="101">
        <v>3764.49</v>
      </c>
      <c r="E95" s="101">
        <v>3839.5</v>
      </c>
      <c r="F95" s="101">
        <v>3839.5</v>
      </c>
      <c r="G95" s="101">
        <v>85249330000</v>
      </c>
    </row>
    <row r="96" spans="1:7" x14ac:dyDescent="0.3">
      <c r="A96" s="102">
        <v>44927</v>
      </c>
      <c r="B96" s="101">
        <v>3853.29</v>
      </c>
      <c r="C96" s="101">
        <v>4094.21</v>
      </c>
      <c r="D96" s="101">
        <v>3794.33</v>
      </c>
      <c r="E96" s="101">
        <v>4076.6</v>
      </c>
      <c r="F96" s="101">
        <v>4076.6</v>
      </c>
      <c r="G96" s="101">
        <v>80763810000</v>
      </c>
    </row>
    <row r="97" spans="1:7" x14ac:dyDescent="0.3">
      <c r="A97" s="102">
        <v>44958</v>
      </c>
      <c r="B97" s="101">
        <v>4070.07</v>
      </c>
      <c r="C97" s="101">
        <v>4195.4399999999996</v>
      </c>
      <c r="D97" s="101">
        <v>3943.08</v>
      </c>
      <c r="E97" s="101">
        <v>3970.15</v>
      </c>
      <c r="F97" s="101">
        <v>3970.15</v>
      </c>
      <c r="G97" s="101">
        <v>80392280000</v>
      </c>
    </row>
    <row r="98" spans="1:7" x14ac:dyDescent="0.3">
      <c r="A98" s="102">
        <v>44986</v>
      </c>
      <c r="B98" s="101">
        <v>3963.34</v>
      </c>
      <c r="C98" s="101">
        <v>4110.75</v>
      </c>
      <c r="D98" s="101">
        <v>3808.86</v>
      </c>
      <c r="E98" s="101">
        <v>4109.3100000000004</v>
      </c>
      <c r="F98" s="101">
        <v>4109.3100000000004</v>
      </c>
      <c r="G98" s="101">
        <v>113094800000</v>
      </c>
    </row>
    <row r="99" spans="1:7" x14ac:dyDescent="0.3">
      <c r="A99" s="102">
        <v>45017</v>
      </c>
      <c r="B99" s="101">
        <v>4102.2</v>
      </c>
      <c r="C99" s="101">
        <v>4170.0600000000004</v>
      </c>
      <c r="D99" s="101">
        <v>4049.35</v>
      </c>
      <c r="E99" s="101">
        <v>4169.4799999999996</v>
      </c>
      <c r="F99" s="101">
        <v>4169.4799999999996</v>
      </c>
      <c r="G99" s="101">
        <v>70861260000</v>
      </c>
    </row>
    <row r="100" spans="1:7" x14ac:dyDescent="0.3">
      <c r="A100" s="102">
        <v>45047</v>
      </c>
      <c r="B100" s="101">
        <v>4166.79</v>
      </c>
      <c r="C100" s="101">
        <v>4231.1000000000004</v>
      </c>
      <c r="D100" s="101">
        <v>4048.28</v>
      </c>
      <c r="E100" s="101">
        <v>4179.83</v>
      </c>
      <c r="F100" s="101">
        <v>4179.83</v>
      </c>
      <c r="G100" s="101">
        <v>88929200000</v>
      </c>
    </row>
    <row r="101" spans="1:7" x14ac:dyDescent="0.3">
      <c r="A101" s="102">
        <v>45078</v>
      </c>
      <c r="B101" s="101">
        <v>4183.03</v>
      </c>
      <c r="C101" s="101">
        <v>4458.4799999999996</v>
      </c>
      <c r="D101" s="101">
        <v>4171.6400000000003</v>
      </c>
      <c r="E101" s="101">
        <v>4450.38</v>
      </c>
      <c r="F101" s="101">
        <v>4450.38</v>
      </c>
      <c r="G101" s="101">
        <v>87983140000</v>
      </c>
    </row>
    <row r="102" spans="1:7" x14ac:dyDescent="0.3">
      <c r="A102" s="102">
        <v>45108</v>
      </c>
      <c r="B102" s="101">
        <v>4450.4799999999996</v>
      </c>
      <c r="C102" s="101">
        <v>4607.07</v>
      </c>
      <c r="D102" s="101">
        <v>4385.05</v>
      </c>
      <c r="E102" s="101">
        <v>4588.96</v>
      </c>
      <c r="F102" s="101">
        <v>4588.96</v>
      </c>
      <c r="G102" s="101">
        <v>75063200000</v>
      </c>
    </row>
    <row r="103" spans="1:7" x14ac:dyDescent="0.3">
      <c r="A103" s="102">
        <v>45139</v>
      </c>
      <c r="B103" s="101">
        <v>4578.83</v>
      </c>
      <c r="C103" s="101">
        <v>4584.62</v>
      </c>
      <c r="D103" s="101">
        <v>4335.3100000000004</v>
      </c>
      <c r="E103" s="101">
        <v>4507.66</v>
      </c>
      <c r="F103" s="101">
        <v>4507.66</v>
      </c>
      <c r="G103" s="101">
        <v>86840820000</v>
      </c>
    </row>
    <row r="104" spans="1:7" x14ac:dyDescent="0.3">
      <c r="A104" s="102">
        <v>45170</v>
      </c>
      <c r="B104" s="101">
        <v>4530.6000000000004</v>
      </c>
      <c r="C104" s="101">
        <v>4541.25</v>
      </c>
      <c r="D104" s="101">
        <v>4238.63</v>
      </c>
      <c r="E104" s="101">
        <v>4288.05</v>
      </c>
      <c r="F104" s="101">
        <v>4288.05</v>
      </c>
      <c r="G104" s="101">
        <v>73482980000</v>
      </c>
    </row>
    <row r="105" spans="1:7" x14ac:dyDescent="0.3">
      <c r="A105" s="102">
        <v>45200</v>
      </c>
      <c r="B105" s="101">
        <v>4284.5200000000004</v>
      </c>
      <c r="C105" s="101">
        <v>4393.57</v>
      </c>
      <c r="D105" s="101">
        <v>4103.78</v>
      </c>
      <c r="E105" s="101">
        <v>4193.8</v>
      </c>
      <c r="F105" s="101">
        <v>4193.8</v>
      </c>
      <c r="G105" s="101">
        <v>83519460000</v>
      </c>
    </row>
    <row r="106" spans="1:7" x14ac:dyDescent="0.3">
      <c r="A106" s="102">
        <v>45231</v>
      </c>
      <c r="B106" s="101">
        <v>4201.2700000000004</v>
      </c>
      <c r="C106" s="101">
        <v>4587.6400000000003</v>
      </c>
      <c r="D106" s="101">
        <v>4197.74</v>
      </c>
      <c r="E106" s="101">
        <v>4567.8</v>
      </c>
      <c r="F106" s="101">
        <v>4567.8</v>
      </c>
      <c r="G106" s="101">
        <v>80970570000</v>
      </c>
    </row>
    <row r="107" spans="1:7" x14ac:dyDescent="0.3">
      <c r="A107" s="102">
        <v>45261</v>
      </c>
      <c r="B107" s="101">
        <v>4559.43</v>
      </c>
      <c r="C107" s="101">
        <v>4793.3</v>
      </c>
      <c r="D107" s="101">
        <v>4546.5</v>
      </c>
      <c r="E107" s="101">
        <v>4769.83</v>
      </c>
      <c r="F107" s="101">
        <v>4769.83</v>
      </c>
      <c r="G107" s="101">
        <v>81530670000</v>
      </c>
    </row>
    <row r="108" spans="1:7" x14ac:dyDescent="0.3">
      <c r="A108" s="102">
        <v>45292</v>
      </c>
      <c r="B108" s="101">
        <v>4745.2</v>
      </c>
      <c r="C108" s="101">
        <v>4931.09</v>
      </c>
      <c r="D108" s="101">
        <v>4682.1099999999997</v>
      </c>
      <c r="E108" s="101">
        <v>4845.6499999999996</v>
      </c>
      <c r="F108" s="101">
        <v>4845.6499999999996</v>
      </c>
      <c r="G108" s="101">
        <v>81737880000</v>
      </c>
    </row>
    <row r="109" spans="1:7" x14ac:dyDescent="0.3">
      <c r="A109" s="102">
        <v>45323</v>
      </c>
      <c r="B109" s="101">
        <v>4861.1099999999997</v>
      </c>
      <c r="C109" s="101">
        <v>5111.0600000000004</v>
      </c>
      <c r="D109" s="101">
        <v>4853.5200000000004</v>
      </c>
      <c r="E109" s="101">
        <v>5096.2700000000004</v>
      </c>
      <c r="F109" s="101">
        <v>5096.2700000000004</v>
      </c>
      <c r="G109" s="101">
        <v>82066930000</v>
      </c>
    </row>
    <row r="110" spans="1:7" x14ac:dyDescent="0.3">
      <c r="A110" s="102">
        <v>45352</v>
      </c>
      <c r="B110" s="101">
        <v>5098.51</v>
      </c>
      <c r="C110" s="101">
        <v>5264.85</v>
      </c>
      <c r="D110" s="101">
        <v>5056.82</v>
      </c>
      <c r="E110" s="101">
        <v>5254.35</v>
      </c>
      <c r="F110" s="101">
        <v>5254.35</v>
      </c>
      <c r="G110" s="101">
        <v>86299510000</v>
      </c>
    </row>
    <row r="111" spans="1:7" x14ac:dyDescent="0.3">
      <c r="A111" s="102">
        <v>45383</v>
      </c>
      <c r="B111" s="101">
        <v>5257.97</v>
      </c>
      <c r="C111" s="101">
        <v>5263.95</v>
      </c>
      <c r="D111" s="101">
        <v>4953.5600000000004</v>
      </c>
      <c r="E111" s="101">
        <v>5035.6899999999996</v>
      </c>
      <c r="F111" s="101">
        <v>5035.6899999999996</v>
      </c>
      <c r="G111" s="101">
        <v>81747170000</v>
      </c>
    </row>
    <row r="112" spans="1:7" x14ac:dyDescent="0.3">
      <c r="A112" s="102">
        <v>45413</v>
      </c>
      <c r="B112" s="101">
        <v>5029.03</v>
      </c>
      <c r="C112" s="101">
        <v>5341.88</v>
      </c>
      <c r="D112" s="101">
        <v>5011.05</v>
      </c>
      <c r="E112" s="101">
        <v>5277.51</v>
      </c>
      <c r="F112" s="101">
        <v>5277.51</v>
      </c>
      <c r="G112" s="101">
        <v>86849720000</v>
      </c>
    </row>
    <row r="113" spans="1:7" x14ac:dyDescent="0.3">
      <c r="A113" s="102">
        <v>45444</v>
      </c>
      <c r="B113" s="101">
        <v>5297.15</v>
      </c>
      <c r="C113" s="101">
        <v>5523.64</v>
      </c>
      <c r="D113" s="101">
        <v>5234.32</v>
      </c>
      <c r="E113" s="101">
        <v>5460.48</v>
      </c>
      <c r="F113" s="101">
        <v>5460.48</v>
      </c>
      <c r="G113" s="101">
        <v>76025620000</v>
      </c>
    </row>
    <row r="114" spans="1:7" x14ac:dyDescent="0.3">
      <c r="A114" s="102">
        <v>45474</v>
      </c>
      <c r="B114" s="101">
        <v>5471.08</v>
      </c>
      <c r="C114" s="101">
        <v>5669.67</v>
      </c>
      <c r="D114" s="101">
        <v>5390.95</v>
      </c>
      <c r="E114" s="101">
        <v>5522.3</v>
      </c>
      <c r="F114" s="101">
        <v>5522.3</v>
      </c>
      <c r="G114" s="101">
        <v>80160390000</v>
      </c>
    </row>
    <row r="115" spans="1:7" x14ac:dyDescent="0.3">
      <c r="A115" s="102">
        <v>45505</v>
      </c>
      <c r="B115" s="101">
        <v>5537.84</v>
      </c>
      <c r="C115" s="101">
        <v>5651.62</v>
      </c>
      <c r="D115" s="101">
        <v>5119.26</v>
      </c>
      <c r="E115" s="101">
        <v>5648.4</v>
      </c>
      <c r="F115" s="101">
        <v>5648.4</v>
      </c>
      <c r="G115" s="101">
        <v>81097300000</v>
      </c>
    </row>
    <row r="116" spans="1:7" x14ac:dyDescent="0.3">
      <c r="A116" s="102">
        <v>45536</v>
      </c>
      <c r="B116" s="101">
        <v>5623.89</v>
      </c>
      <c r="C116" s="101">
        <v>5767.37</v>
      </c>
      <c r="D116" s="101">
        <v>5402.62</v>
      </c>
      <c r="E116" s="101">
        <v>5762.48</v>
      </c>
      <c r="F116" s="101">
        <v>5762.48</v>
      </c>
      <c r="G116" s="101">
        <v>79564830000</v>
      </c>
    </row>
    <row r="117" spans="1:7" x14ac:dyDescent="0.3">
      <c r="A117" s="102">
        <v>45566</v>
      </c>
      <c r="B117" s="101">
        <v>5757.73</v>
      </c>
      <c r="C117" s="101">
        <v>5878.46</v>
      </c>
      <c r="D117" s="101">
        <v>5674</v>
      </c>
      <c r="E117" s="101">
        <v>5705.45</v>
      </c>
      <c r="F117" s="101">
        <v>5705.45</v>
      </c>
      <c r="G117" s="101">
        <v>82412430000</v>
      </c>
    </row>
    <row r="118" spans="1:7" x14ac:dyDescent="0.3">
      <c r="A118" s="102">
        <v>45597</v>
      </c>
      <c r="B118" s="101">
        <v>5723.22</v>
      </c>
      <c r="C118" s="101">
        <v>6044.17</v>
      </c>
      <c r="D118" s="101">
        <v>5696.51</v>
      </c>
      <c r="E118" s="101">
        <v>6032.38</v>
      </c>
      <c r="F118" s="101">
        <v>6032.38</v>
      </c>
      <c r="G118" s="101">
        <v>84101980000</v>
      </c>
    </row>
    <row r="119" spans="1:7" x14ac:dyDescent="0.3">
      <c r="A119" s="102">
        <v>45627</v>
      </c>
      <c r="B119" s="101">
        <v>6040.11</v>
      </c>
      <c r="C119" s="101">
        <v>6099.97</v>
      </c>
      <c r="D119" s="101">
        <v>5832.3</v>
      </c>
      <c r="E119" s="101">
        <v>5881.63</v>
      </c>
      <c r="F119" s="101">
        <v>5881.63</v>
      </c>
      <c r="G119" s="101">
        <v>86064900000</v>
      </c>
    </row>
    <row r="120" spans="1:7" x14ac:dyDescent="0.3">
      <c r="A120" s="102">
        <v>45658</v>
      </c>
      <c r="B120" s="101">
        <v>5903.26</v>
      </c>
      <c r="C120" s="101">
        <v>6128.18</v>
      </c>
      <c r="D120" s="101">
        <v>5773.31</v>
      </c>
      <c r="E120" s="101">
        <v>6040.53</v>
      </c>
      <c r="F120" s="101">
        <v>6040.53</v>
      </c>
      <c r="G120" s="101">
        <v>88639380000</v>
      </c>
    </row>
    <row r="121" spans="1:7" x14ac:dyDescent="0.3">
      <c r="A121" s="102">
        <v>45689</v>
      </c>
      <c r="B121" s="101">
        <v>5969.65</v>
      </c>
      <c r="C121" s="101">
        <v>6147.43</v>
      </c>
      <c r="D121" s="101">
        <v>5837.66</v>
      </c>
      <c r="E121" s="101">
        <v>5954.5</v>
      </c>
      <c r="F121" s="101">
        <v>5954.5</v>
      </c>
      <c r="G121" s="101">
        <v>92317000000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D5" sqref="D5"/>
    </sheetView>
  </sheetViews>
  <sheetFormatPr defaultColWidth="12.6640625" defaultRowHeight="15" customHeight="1" x14ac:dyDescent="0.3"/>
  <cols>
    <col min="1" max="1" width="8.6640625" customWidth="1"/>
    <col min="2" max="2" width="81.21875" customWidth="1"/>
    <col min="3" max="26" width="8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>
      <c r="B3" s="45"/>
    </row>
    <row r="4" spans="2:4" ht="14.25" customHeight="1" x14ac:dyDescent="0.3"/>
    <row r="5" spans="2:4" ht="14.25" customHeight="1" x14ac:dyDescent="0.3">
      <c r="B5" s="46" t="s">
        <v>124</v>
      </c>
      <c r="D5" s="45" t="s">
        <v>125</v>
      </c>
    </row>
    <row r="6" spans="2:4" ht="14.25" customHeight="1" x14ac:dyDescent="0.3"/>
    <row r="7" spans="2:4" ht="14.25" customHeight="1" x14ac:dyDescent="0.3">
      <c r="B7" s="46" t="s">
        <v>124</v>
      </c>
      <c r="D7" s="45" t="s">
        <v>126</v>
      </c>
    </row>
    <row r="8" spans="2:4" ht="14.25" customHeight="1" x14ac:dyDescent="0.3"/>
    <row r="9" spans="2:4" ht="14.25" customHeight="1" x14ac:dyDescent="0.3">
      <c r="B9" s="47" t="s">
        <v>127</v>
      </c>
      <c r="D9" s="45" t="s">
        <v>128</v>
      </c>
    </row>
    <row r="10" spans="2:4" ht="14.25" customHeight="1" x14ac:dyDescent="0.3"/>
    <row r="11" spans="2:4" ht="14.25" customHeight="1" x14ac:dyDescent="0.3">
      <c r="B11" s="46" t="s">
        <v>129</v>
      </c>
      <c r="D11" s="45" t="s">
        <v>130</v>
      </c>
    </row>
    <row r="12" spans="2:4" ht="14.25" customHeight="1" x14ac:dyDescent="0.3">
      <c r="B12" s="46" t="s">
        <v>131</v>
      </c>
      <c r="D12" s="45" t="s">
        <v>128</v>
      </c>
    </row>
    <row r="13" spans="2:4" ht="14.25" customHeight="1" x14ac:dyDescent="0.3">
      <c r="B13" s="46" t="s">
        <v>132</v>
      </c>
      <c r="D13" s="45" t="s">
        <v>133</v>
      </c>
    </row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D5" r:id="rId1" xr:uid="{00000000-0004-0000-0200-000000000000}"/>
    <hyperlink ref="D7" r:id="rId2" xr:uid="{00000000-0004-0000-0200-000001000000}"/>
    <hyperlink ref="D9" r:id="rId3" xr:uid="{00000000-0004-0000-0200-000002000000}"/>
    <hyperlink ref="D11" r:id="rId4" xr:uid="{00000000-0004-0000-0200-000003000000}"/>
    <hyperlink ref="D12" r:id="rId5" xr:uid="{00000000-0004-0000-0200-000004000000}"/>
    <hyperlink ref="D13" r:id="rId6" xr:uid="{00000000-0004-0000-0200-00000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Ratio Analysis</vt:lpstr>
      <vt:lpstr>CAPM</vt:lpstr>
      <vt:lpstr>regression</vt:lpstr>
      <vt:lpstr>WACC</vt:lpstr>
      <vt:lpstr>SBUX</vt:lpstr>
      <vt:lpstr>S&amp;P500</vt:lpstr>
      <vt:lpstr>Resources</vt:lpstr>
      <vt:lpstr>table_SP500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Sreelu</dc:creator>
  <cp:lastModifiedBy>Boontarika Ubonyaem</cp:lastModifiedBy>
  <dcterms:created xsi:type="dcterms:W3CDTF">2024-03-26T01:19:58Z</dcterms:created>
  <dcterms:modified xsi:type="dcterms:W3CDTF">2025-04-04T03:16:16Z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0x0101008C10E4B06832A940B475A51DC1427145</vt:lpwstr>
  </property>
</Properties>
</file>